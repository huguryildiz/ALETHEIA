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btmac/Downloads/2025-04-10-k-connectivity sonuçlar/"/>
    </mc:Choice>
  </mc:AlternateContent>
  <xr:revisionPtr revIDLastSave="0" documentId="13_ncr:1_{D32315F1-C534-3F43-97EA-6444F3CA47C6}" xr6:coauthVersionLast="47" xr6:coauthVersionMax="47" xr10:uidLastSave="{00000000-0000-0000-0000-000000000000}"/>
  <bookViews>
    <workbookView xWindow="0" yWindow="500" windowWidth="28800" windowHeight="16180" activeTab="1" xr2:uid="{00000000-000D-0000-FFFF-FFFF00000000}"/>
  </bookViews>
  <sheets>
    <sheet name="DY=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Q5" i="2"/>
  <c r="P6" i="2"/>
  <c r="Q6" i="2"/>
  <c r="P7" i="2"/>
  <c r="Q7" i="2"/>
  <c r="P8" i="2"/>
  <c r="Q8" i="2"/>
  <c r="P9" i="2"/>
  <c r="Q9" i="2"/>
  <c r="P10" i="2"/>
  <c r="Q10" i="2"/>
  <c r="P11" i="2"/>
  <c r="Q11" i="2"/>
  <c r="P12" i="2"/>
  <c r="Q12" i="2"/>
  <c r="P13" i="2"/>
  <c r="Q13" i="2"/>
  <c r="P14" i="2"/>
  <c r="Q14" i="2"/>
  <c r="P15" i="2"/>
  <c r="Q15" i="2"/>
  <c r="P16" i="2"/>
  <c r="Q16" i="2"/>
  <c r="P17" i="2"/>
  <c r="Q17" i="2"/>
  <c r="P18" i="2"/>
  <c r="Q18" i="2"/>
  <c r="P19" i="2"/>
  <c r="Q19" i="2"/>
  <c r="P20" i="2"/>
  <c r="Q20" i="2"/>
  <c r="P21" i="2"/>
  <c r="Q21" i="2"/>
  <c r="P22" i="2"/>
  <c r="Q22" i="2"/>
  <c r="P23" i="2"/>
  <c r="Q23" i="2"/>
  <c r="P24" i="2"/>
  <c r="Q24" i="2"/>
  <c r="P25" i="2"/>
  <c r="Q25" i="2"/>
  <c r="AV5" i="2"/>
  <c r="AW5" i="2"/>
  <c r="AV6" i="2"/>
  <c r="AW6" i="2"/>
  <c r="AV7" i="2"/>
  <c r="AW7" i="2"/>
  <c r="AV8" i="2"/>
  <c r="AW8" i="2"/>
  <c r="AV9" i="2"/>
  <c r="AW9" i="2"/>
  <c r="AV10" i="2"/>
  <c r="AW10" i="2"/>
  <c r="AV11" i="2"/>
  <c r="AW11" i="2"/>
  <c r="AV12" i="2"/>
  <c r="AW12" i="2"/>
  <c r="AV13" i="2"/>
  <c r="AW13" i="2"/>
  <c r="AV14" i="2"/>
  <c r="AW14" i="2"/>
  <c r="AV15" i="2"/>
  <c r="AW15" i="2"/>
  <c r="AV16" i="2"/>
  <c r="AW16" i="2"/>
  <c r="AV17" i="2"/>
  <c r="AW17" i="2"/>
  <c r="AV18" i="2"/>
  <c r="AW18" i="2"/>
  <c r="AV19" i="2"/>
  <c r="AW19" i="2"/>
  <c r="AV20" i="2"/>
  <c r="AW20" i="2"/>
  <c r="AV21" i="2"/>
  <c r="AW21" i="2"/>
  <c r="AV22" i="2"/>
  <c r="AW22" i="2"/>
  <c r="AV23" i="2"/>
  <c r="AW23" i="2"/>
  <c r="AV24" i="2"/>
  <c r="AW24" i="2"/>
  <c r="AV25" i="2"/>
  <c r="AW2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5" i="2"/>
  <c r="AP5" i="2"/>
  <c r="AQ5" i="2"/>
  <c r="AP6" i="2"/>
  <c r="AQ6" i="2"/>
  <c r="AP7" i="2"/>
  <c r="AQ7" i="2"/>
  <c r="AP8" i="2"/>
  <c r="AQ8" i="2"/>
  <c r="AP9" i="2"/>
  <c r="AQ9" i="2"/>
  <c r="AP10" i="2"/>
  <c r="AQ10" i="2"/>
  <c r="AP11" i="2"/>
  <c r="AQ11" i="2"/>
  <c r="AP12" i="2"/>
  <c r="AQ12" i="2"/>
  <c r="AP13" i="2"/>
  <c r="AQ13" i="2"/>
  <c r="AP14" i="2"/>
  <c r="AQ14" i="2"/>
  <c r="AP15" i="2"/>
  <c r="AQ15" i="2"/>
  <c r="AP16" i="2"/>
  <c r="AQ16" i="2"/>
  <c r="AP17" i="2"/>
  <c r="AQ17" i="2"/>
  <c r="AP18" i="2"/>
  <c r="AQ18" i="2"/>
  <c r="AP19" i="2"/>
  <c r="AQ19" i="2"/>
  <c r="AP20" i="2"/>
  <c r="AQ20" i="2"/>
  <c r="AP21" i="2"/>
  <c r="AQ21" i="2"/>
  <c r="AP22" i="2"/>
  <c r="AQ22" i="2"/>
  <c r="AP23" i="2"/>
  <c r="AQ23" i="2"/>
  <c r="AP24" i="2"/>
  <c r="AQ24" i="2"/>
  <c r="AP25" i="2"/>
  <c r="AQ2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5" i="2"/>
  <c r="Y25" i="2"/>
  <c r="AB25" i="2" s="1"/>
  <c r="X25" i="2"/>
  <c r="AA25" i="2" s="1"/>
  <c r="W25" i="2"/>
  <c r="Z25" i="2" s="1"/>
  <c r="Y24" i="2"/>
  <c r="AB24" i="2" s="1"/>
  <c r="X24" i="2"/>
  <c r="AA24" i="2" s="1"/>
  <c r="W24" i="2"/>
  <c r="Z24" i="2" s="1"/>
  <c r="Y23" i="2"/>
  <c r="AB23" i="2" s="1"/>
  <c r="X23" i="2"/>
  <c r="AA23" i="2" s="1"/>
  <c r="W23" i="2"/>
  <c r="Z23" i="2" s="1"/>
  <c r="Y22" i="2"/>
  <c r="AB22" i="2" s="1"/>
  <c r="X22" i="2"/>
  <c r="AA22" i="2" s="1"/>
  <c r="W22" i="2"/>
  <c r="Z22" i="2" s="1"/>
  <c r="Y21" i="2"/>
  <c r="AB21" i="2" s="1"/>
  <c r="X21" i="2"/>
  <c r="AA21" i="2" s="1"/>
  <c r="AD21" i="2" s="1"/>
  <c r="W21" i="2"/>
  <c r="Z21" i="2" s="1"/>
  <c r="AF21" i="2" s="1"/>
  <c r="AI21" i="2" s="1"/>
  <c r="Y20" i="2"/>
  <c r="AB20" i="2" s="1"/>
  <c r="AE20" i="2" s="1"/>
  <c r="X20" i="2"/>
  <c r="AA20" i="2" s="1"/>
  <c r="AG20" i="2" s="1"/>
  <c r="AJ20" i="2" s="1"/>
  <c r="W20" i="2"/>
  <c r="Z20" i="2" s="1"/>
  <c r="AF20" i="2" s="1"/>
  <c r="AI20" i="2" s="1"/>
  <c r="Y19" i="2"/>
  <c r="AB19" i="2" s="1"/>
  <c r="AH19" i="2" s="1"/>
  <c r="AK19" i="2" s="1"/>
  <c r="X19" i="2"/>
  <c r="AA19" i="2" s="1"/>
  <c r="AG19" i="2" s="1"/>
  <c r="AJ19" i="2" s="1"/>
  <c r="W19" i="2"/>
  <c r="Z19" i="2" s="1"/>
  <c r="Y18" i="2"/>
  <c r="AB18" i="2" s="1"/>
  <c r="AH18" i="2" s="1"/>
  <c r="AK18" i="2" s="1"/>
  <c r="X18" i="2"/>
  <c r="AA18" i="2" s="1"/>
  <c r="W18" i="2"/>
  <c r="Z18" i="2" s="1"/>
  <c r="Y17" i="2"/>
  <c r="AB17" i="2" s="1"/>
  <c r="X17" i="2"/>
  <c r="AA17" i="2" s="1"/>
  <c r="W17" i="2"/>
  <c r="Z17" i="2" s="1"/>
  <c r="Y16" i="2"/>
  <c r="AB16" i="2" s="1"/>
  <c r="X16" i="2"/>
  <c r="AA16" i="2" s="1"/>
  <c r="W16" i="2"/>
  <c r="Z16" i="2" s="1"/>
  <c r="Y15" i="2"/>
  <c r="AB15" i="2" s="1"/>
  <c r="X15" i="2"/>
  <c r="AA15" i="2" s="1"/>
  <c r="W15" i="2"/>
  <c r="Z15" i="2" s="1"/>
  <c r="Y14" i="2"/>
  <c r="AB14" i="2" s="1"/>
  <c r="X14" i="2"/>
  <c r="AA14" i="2" s="1"/>
  <c r="W14" i="2"/>
  <c r="Z14" i="2" s="1"/>
  <c r="Y13" i="2"/>
  <c r="AB13" i="2" s="1"/>
  <c r="X13" i="2"/>
  <c r="AA13" i="2" s="1"/>
  <c r="W13" i="2"/>
  <c r="Z13" i="2" s="1"/>
  <c r="Y12" i="2"/>
  <c r="AB12" i="2" s="1"/>
  <c r="X12" i="2"/>
  <c r="AA12" i="2" s="1"/>
  <c r="W12" i="2"/>
  <c r="Z12" i="2" s="1"/>
  <c r="AF12" i="2" s="1"/>
  <c r="AI12" i="2" s="1"/>
  <c r="Y11" i="2"/>
  <c r="AB11" i="2" s="1"/>
  <c r="X11" i="2"/>
  <c r="AA11" i="2" s="1"/>
  <c r="AG11" i="2" s="1"/>
  <c r="AJ11" i="2" s="1"/>
  <c r="W11" i="2"/>
  <c r="Z11" i="2" s="1"/>
  <c r="AF11" i="2" s="1"/>
  <c r="AI11" i="2" s="1"/>
  <c r="Y10" i="2"/>
  <c r="AB10" i="2" s="1"/>
  <c r="AH10" i="2" s="1"/>
  <c r="AK10" i="2" s="1"/>
  <c r="X10" i="2"/>
  <c r="AA10" i="2" s="1"/>
  <c r="AG10" i="2" s="1"/>
  <c r="AJ10" i="2" s="1"/>
  <c r="W10" i="2"/>
  <c r="Z10" i="2" s="1"/>
  <c r="AF10" i="2" s="1"/>
  <c r="AI10" i="2" s="1"/>
  <c r="Y9" i="2"/>
  <c r="AB9" i="2" s="1"/>
  <c r="AH9" i="2" s="1"/>
  <c r="AK9" i="2" s="1"/>
  <c r="X9" i="2"/>
  <c r="AA9" i="2" s="1"/>
  <c r="AD9" i="2" s="1"/>
  <c r="W9" i="2"/>
  <c r="Z9" i="2" s="1"/>
  <c r="Y8" i="2"/>
  <c r="AB8" i="2" s="1"/>
  <c r="X8" i="2"/>
  <c r="AA8" i="2" s="1"/>
  <c r="W8" i="2"/>
  <c r="Z8" i="2" s="1"/>
  <c r="Y7" i="2"/>
  <c r="AB7" i="2" s="1"/>
  <c r="X7" i="2"/>
  <c r="AA7" i="2" s="1"/>
  <c r="W7" i="2"/>
  <c r="Z7" i="2" s="1"/>
  <c r="Y6" i="2"/>
  <c r="AB6" i="2" s="1"/>
  <c r="X6" i="2"/>
  <c r="AA6" i="2" s="1"/>
  <c r="W6" i="2"/>
  <c r="Z6" i="2" s="1"/>
  <c r="Y5" i="2"/>
  <c r="AB5" i="2" s="1"/>
  <c r="X5" i="2"/>
  <c r="AA5" i="2" s="1"/>
  <c r="W5" i="2"/>
  <c r="Z5" i="2" s="1"/>
  <c r="AB5" i="1"/>
  <c r="AC5" i="1"/>
  <c r="AB6" i="1"/>
  <c r="AC6" i="1"/>
  <c r="AB7" i="1"/>
  <c r="AC7" i="1"/>
  <c r="AB8" i="1"/>
  <c r="AC8" i="1"/>
  <c r="AB9" i="1"/>
  <c r="AC9" i="1"/>
  <c r="AB10" i="1"/>
  <c r="AC10" i="1"/>
  <c r="AB11" i="1"/>
  <c r="AC11" i="1"/>
  <c r="AB12" i="1"/>
  <c r="AC12" i="1"/>
  <c r="AB13" i="1"/>
  <c r="AC13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B25" i="1"/>
  <c r="AC25" i="1"/>
  <c r="AA25" i="1"/>
  <c r="AA5" i="1"/>
  <c r="W5" i="1"/>
  <c r="W19" i="1"/>
  <c r="AE19" i="1" s="1"/>
  <c r="AI19" i="1" s="1"/>
  <c r="S6" i="1"/>
  <c r="W6" i="1" s="1"/>
  <c r="AE6" i="1" s="1"/>
  <c r="AI6" i="1" s="1"/>
  <c r="T6" i="1"/>
  <c r="X6" i="1" s="1"/>
  <c r="AF6" i="1" s="1"/>
  <c r="AJ6" i="1" s="1"/>
  <c r="U6" i="1"/>
  <c r="Y6" i="1" s="1"/>
  <c r="AG6" i="1" s="1"/>
  <c r="AK6" i="1" s="1"/>
  <c r="S7" i="1"/>
  <c r="W7" i="1" s="1"/>
  <c r="AE7" i="1" s="1"/>
  <c r="AI7" i="1" s="1"/>
  <c r="T7" i="1"/>
  <c r="X7" i="1" s="1"/>
  <c r="AF7" i="1" s="1"/>
  <c r="AJ7" i="1" s="1"/>
  <c r="U7" i="1"/>
  <c r="Y7" i="1" s="1"/>
  <c r="AG7" i="1" s="1"/>
  <c r="AK7" i="1" s="1"/>
  <c r="T5" i="1"/>
  <c r="X5" i="1" s="1"/>
  <c r="AF5" i="1" s="1"/>
  <c r="AJ5" i="1" s="1"/>
  <c r="U5" i="1"/>
  <c r="Y5" i="1" s="1"/>
  <c r="AG5" i="1" s="1"/>
  <c r="AK5" i="1" s="1"/>
  <c r="T8" i="1"/>
  <c r="X8" i="1" s="1"/>
  <c r="AF8" i="1" s="1"/>
  <c r="AJ8" i="1" s="1"/>
  <c r="U8" i="1"/>
  <c r="Y8" i="1" s="1"/>
  <c r="AG8" i="1" s="1"/>
  <c r="AK8" i="1" s="1"/>
  <c r="T9" i="1"/>
  <c r="X9" i="1" s="1"/>
  <c r="AF9" i="1" s="1"/>
  <c r="AJ9" i="1" s="1"/>
  <c r="U9" i="1"/>
  <c r="Y9" i="1" s="1"/>
  <c r="AG9" i="1" s="1"/>
  <c r="AK9" i="1" s="1"/>
  <c r="T10" i="1"/>
  <c r="X10" i="1" s="1"/>
  <c r="AF10" i="1" s="1"/>
  <c r="AJ10" i="1" s="1"/>
  <c r="U10" i="1"/>
  <c r="Y10" i="1" s="1"/>
  <c r="AG10" i="1" s="1"/>
  <c r="AK10" i="1" s="1"/>
  <c r="T11" i="1"/>
  <c r="X11" i="1" s="1"/>
  <c r="AF11" i="1" s="1"/>
  <c r="AJ11" i="1" s="1"/>
  <c r="U11" i="1"/>
  <c r="Y11" i="1" s="1"/>
  <c r="AG11" i="1" s="1"/>
  <c r="AK11" i="1" s="1"/>
  <c r="T12" i="1"/>
  <c r="X12" i="1" s="1"/>
  <c r="AF12" i="1" s="1"/>
  <c r="AJ12" i="1" s="1"/>
  <c r="U12" i="1"/>
  <c r="Y12" i="1" s="1"/>
  <c r="AG12" i="1" s="1"/>
  <c r="AK12" i="1" s="1"/>
  <c r="T13" i="1"/>
  <c r="X13" i="1" s="1"/>
  <c r="AF13" i="1" s="1"/>
  <c r="AJ13" i="1" s="1"/>
  <c r="U13" i="1"/>
  <c r="Y13" i="1" s="1"/>
  <c r="AG13" i="1" s="1"/>
  <c r="AK13" i="1" s="1"/>
  <c r="T14" i="1"/>
  <c r="X14" i="1" s="1"/>
  <c r="AF14" i="1" s="1"/>
  <c r="AJ14" i="1" s="1"/>
  <c r="U14" i="1"/>
  <c r="Y14" i="1" s="1"/>
  <c r="AG14" i="1" s="1"/>
  <c r="AK14" i="1" s="1"/>
  <c r="T15" i="1"/>
  <c r="X15" i="1" s="1"/>
  <c r="AF15" i="1" s="1"/>
  <c r="AJ15" i="1" s="1"/>
  <c r="U15" i="1"/>
  <c r="Y15" i="1" s="1"/>
  <c r="AG15" i="1" s="1"/>
  <c r="AK15" i="1" s="1"/>
  <c r="T16" i="1"/>
  <c r="X16" i="1" s="1"/>
  <c r="AF16" i="1" s="1"/>
  <c r="AJ16" i="1" s="1"/>
  <c r="U16" i="1"/>
  <c r="Y16" i="1" s="1"/>
  <c r="AG16" i="1" s="1"/>
  <c r="AK16" i="1" s="1"/>
  <c r="T17" i="1"/>
  <c r="X17" i="1" s="1"/>
  <c r="AF17" i="1" s="1"/>
  <c r="AJ17" i="1" s="1"/>
  <c r="U17" i="1"/>
  <c r="Y17" i="1" s="1"/>
  <c r="AG17" i="1" s="1"/>
  <c r="AK17" i="1" s="1"/>
  <c r="T18" i="1"/>
  <c r="X18" i="1" s="1"/>
  <c r="AF18" i="1" s="1"/>
  <c r="AJ18" i="1" s="1"/>
  <c r="U18" i="1"/>
  <c r="Y18" i="1" s="1"/>
  <c r="AG18" i="1" s="1"/>
  <c r="AK18" i="1" s="1"/>
  <c r="T19" i="1"/>
  <c r="X19" i="1" s="1"/>
  <c r="AF19" i="1" s="1"/>
  <c r="AJ19" i="1" s="1"/>
  <c r="U19" i="1"/>
  <c r="Y19" i="1" s="1"/>
  <c r="AG19" i="1" s="1"/>
  <c r="AK19" i="1" s="1"/>
  <c r="T20" i="1"/>
  <c r="X20" i="1" s="1"/>
  <c r="AF20" i="1" s="1"/>
  <c r="AJ20" i="1" s="1"/>
  <c r="U20" i="1"/>
  <c r="Y20" i="1" s="1"/>
  <c r="AG20" i="1" s="1"/>
  <c r="AK20" i="1" s="1"/>
  <c r="T21" i="1"/>
  <c r="X21" i="1" s="1"/>
  <c r="AF21" i="1" s="1"/>
  <c r="AJ21" i="1" s="1"/>
  <c r="U21" i="1"/>
  <c r="Y21" i="1" s="1"/>
  <c r="AG21" i="1" s="1"/>
  <c r="AK21" i="1" s="1"/>
  <c r="T22" i="1"/>
  <c r="X22" i="1" s="1"/>
  <c r="AF22" i="1" s="1"/>
  <c r="AJ22" i="1" s="1"/>
  <c r="U22" i="1"/>
  <c r="Y22" i="1" s="1"/>
  <c r="AG22" i="1" s="1"/>
  <c r="AK22" i="1" s="1"/>
  <c r="T23" i="1"/>
  <c r="X23" i="1" s="1"/>
  <c r="AF23" i="1" s="1"/>
  <c r="AJ23" i="1" s="1"/>
  <c r="U23" i="1"/>
  <c r="Y23" i="1" s="1"/>
  <c r="AG23" i="1" s="1"/>
  <c r="AK23" i="1" s="1"/>
  <c r="T24" i="1"/>
  <c r="X24" i="1" s="1"/>
  <c r="AF24" i="1" s="1"/>
  <c r="AJ24" i="1" s="1"/>
  <c r="U24" i="1"/>
  <c r="Y24" i="1" s="1"/>
  <c r="AG24" i="1" s="1"/>
  <c r="AK24" i="1" s="1"/>
  <c r="T25" i="1"/>
  <c r="X25" i="1" s="1"/>
  <c r="AF25" i="1" s="1"/>
  <c r="AJ25" i="1" s="1"/>
  <c r="U25" i="1"/>
  <c r="Y25" i="1" s="1"/>
  <c r="AG25" i="1" s="1"/>
  <c r="AK25" i="1" s="1"/>
  <c r="S9" i="1"/>
  <c r="W9" i="1" s="1"/>
  <c r="AE9" i="1" s="1"/>
  <c r="AI9" i="1" s="1"/>
  <c r="S10" i="1"/>
  <c r="W10" i="1" s="1"/>
  <c r="AE10" i="1" s="1"/>
  <c r="AI10" i="1" s="1"/>
  <c r="S11" i="1"/>
  <c r="W11" i="1" s="1"/>
  <c r="AE11" i="1" s="1"/>
  <c r="AI11" i="1" s="1"/>
  <c r="S12" i="1"/>
  <c r="W12" i="1" s="1"/>
  <c r="AE12" i="1" s="1"/>
  <c r="AI12" i="1" s="1"/>
  <c r="S13" i="1"/>
  <c r="W13" i="1" s="1"/>
  <c r="AE13" i="1" s="1"/>
  <c r="AI13" i="1" s="1"/>
  <c r="S14" i="1"/>
  <c r="W14" i="1" s="1"/>
  <c r="AE14" i="1" s="1"/>
  <c r="AI14" i="1" s="1"/>
  <c r="S15" i="1"/>
  <c r="W15" i="1" s="1"/>
  <c r="AE15" i="1" s="1"/>
  <c r="AI15" i="1" s="1"/>
  <c r="S16" i="1"/>
  <c r="W16" i="1" s="1"/>
  <c r="AE16" i="1" s="1"/>
  <c r="AI16" i="1" s="1"/>
  <c r="S17" i="1"/>
  <c r="W17" i="1" s="1"/>
  <c r="AE17" i="1" s="1"/>
  <c r="AI17" i="1" s="1"/>
  <c r="S18" i="1"/>
  <c r="W18" i="1" s="1"/>
  <c r="AE18" i="1" s="1"/>
  <c r="AI18" i="1" s="1"/>
  <c r="S19" i="1"/>
  <c r="S20" i="1"/>
  <c r="W20" i="1" s="1"/>
  <c r="AE20" i="1" s="1"/>
  <c r="AI20" i="1" s="1"/>
  <c r="S21" i="1"/>
  <c r="W21" i="1" s="1"/>
  <c r="AE21" i="1" s="1"/>
  <c r="AI21" i="1" s="1"/>
  <c r="S22" i="1"/>
  <c r="W22" i="1" s="1"/>
  <c r="AE22" i="1" s="1"/>
  <c r="AI22" i="1" s="1"/>
  <c r="S23" i="1"/>
  <c r="W23" i="1" s="1"/>
  <c r="AE23" i="1" s="1"/>
  <c r="AI23" i="1" s="1"/>
  <c r="S24" i="1"/>
  <c r="W24" i="1" s="1"/>
  <c r="AE24" i="1" s="1"/>
  <c r="AI24" i="1" s="1"/>
  <c r="S25" i="1"/>
  <c r="W25" i="1" s="1"/>
  <c r="AE25" i="1" s="1"/>
  <c r="AI25" i="1" s="1"/>
  <c r="S8" i="1"/>
  <c r="W8" i="1" s="1"/>
  <c r="AE8" i="1" s="1"/>
  <c r="AI8" i="1" s="1"/>
  <c r="S5" i="1"/>
  <c r="AE5" i="1" s="1"/>
  <c r="AI5" i="1" s="1"/>
  <c r="Q11" i="1"/>
  <c r="P11" i="1"/>
  <c r="Q13" i="1"/>
  <c r="P13" i="1"/>
  <c r="Q22" i="1"/>
  <c r="P22" i="1"/>
  <c r="Q24" i="1"/>
  <c r="P24" i="1"/>
  <c r="Q20" i="1"/>
  <c r="P20" i="1"/>
  <c r="Q23" i="1"/>
  <c r="P23" i="1"/>
  <c r="Q19" i="1"/>
  <c r="P19" i="1"/>
  <c r="Q18" i="1"/>
  <c r="P18" i="1"/>
  <c r="Q12" i="1"/>
  <c r="P12" i="1"/>
  <c r="Q10" i="1"/>
  <c r="P10" i="1"/>
  <c r="Q7" i="1"/>
  <c r="P7" i="1"/>
  <c r="Q6" i="1"/>
  <c r="P6" i="1"/>
  <c r="Q14" i="1"/>
  <c r="P14" i="1"/>
  <c r="Q9" i="1"/>
  <c r="P9" i="1"/>
  <c r="Q16" i="1"/>
  <c r="P16" i="1"/>
  <c r="Q21" i="1"/>
  <c r="P21" i="1"/>
  <c r="Q17" i="1"/>
  <c r="P17" i="1"/>
  <c r="Q8" i="1"/>
  <c r="P8" i="1"/>
  <c r="Q25" i="1"/>
  <c r="P25" i="1"/>
  <c r="Q15" i="1"/>
  <c r="P15" i="1"/>
  <c r="Q5" i="1"/>
  <c r="P5" i="1"/>
  <c r="AH8" i="2" l="1"/>
  <c r="AK8" i="2" s="1"/>
  <c r="AE8" i="2"/>
  <c r="AE16" i="2"/>
  <c r="AH16" i="2"/>
  <c r="AK16" i="2" s="1"/>
  <c r="AG9" i="2"/>
  <c r="AJ9" i="2" s="1"/>
  <c r="AC5" i="2"/>
  <c r="AF5" i="2"/>
  <c r="AI5" i="2" s="1"/>
  <c r="AE11" i="2"/>
  <c r="AH11" i="2"/>
  <c r="AK11" i="2" s="1"/>
  <c r="AD12" i="2"/>
  <c r="AG12" i="2"/>
  <c r="AJ12" i="2" s="1"/>
  <c r="AC18" i="2"/>
  <c r="AF18" i="2"/>
  <c r="AI18" i="2" s="1"/>
  <c r="AD17" i="2"/>
  <c r="AG17" i="2"/>
  <c r="AJ17" i="2" s="1"/>
  <c r="AC22" i="2"/>
  <c r="AF22" i="2"/>
  <c r="AI22" i="2" s="1"/>
  <c r="AC13" i="2"/>
  <c r="AF13" i="2"/>
  <c r="AI13" i="2" s="1"/>
  <c r="AH20" i="2"/>
  <c r="AK20" i="2" s="1"/>
  <c r="AG21" i="2"/>
  <c r="AJ21" i="2" s="1"/>
  <c r="AC10" i="2"/>
  <c r="AH15" i="2"/>
  <c r="AK15" i="2" s="1"/>
  <c r="AE15" i="2"/>
  <c r="AD24" i="2"/>
  <c r="AG24" i="2"/>
  <c r="AJ24" i="2" s="1"/>
  <c r="AD6" i="2"/>
  <c r="AG6" i="2"/>
  <c r="AJ6" i="2" s="1"/>
  <c r="AD14" i="2"/>
  <c r="AG14" i="2"/>
  <c r="AJ14" i="2" s="1"/>
  <c r="AE6" i="2"/>
  <c r="AH6" i="2"/>
  <c r="AK6" i="2" s="1"/>
  <c r="AC23" i="2"/>
  <c r="AF23" i="2"/>
  <c r="AI23" i="2" s="1"/>
  <c r="AG8" i="2"/>
  <c r="AJ8" i="2" s="1"/>
  <c r="AD8" i="2"/>
  <c r="AE12" i="2"/>
  <c r="AH12" i="2"/>
  <c r="AK12" i="2" s="1"/>
  <c r="AG16" i="2"/>
  <c r="AJ16" i="2" s="1"/>
  <c r="AD16" i="2"/>
  <c r="AG18" i="2"/>
  <c r="AJ18" i="2" s="1"/>
  <c r="AD18" i="2"/>
  <c r="AF19" i="2"/>
  <c r="AI19" i="2" s="1"/>
  <c r="AC19" i="2"/>
  <c r="AD23" i="2"/>
  <c r="AG23" i="2"/>
  <c r="AJ23" i="2" s="1"/>
  <c r="AH17" i="2"/>
  <c r="AK17" i="2" s="1"/>
  <c r="AE17" i="2"/>
  <c r="AD22" i="2"/>
  <c r="AG22" i="2"/>
  <c r="AJ22" i="2" s="1"/>
  <c r="AE23" i="2"/>
  <c r="AH23" i="2"/>
  <c r="AK23" i="2" s="1"/>
  <c r="AC25" i="2"/>
  <c r="AF25" i="2"/>
  <c r="AI25" i="2" s="1"/>
  <c r="AG5" i="2"/>
  <c r="AJ5" i="2" s="1"/>
  <c r="AD5" i="2"/>
  <c r="AD13" i="2"/>
  <c r="AG13" i="2"/>
  <c r="AJ13" i="2" s="1"/>
  <c r="AE14" i="2"/>
  <c r="AH14" i="2"/>
  <c r="AK14" i="2" s="1"/>
  <c r="AC16" i="2"/>
  <c r="AF16" i="2"/>
  <c r="AI16" i="2" s="1"/>
  <c r="AC17" i="2"/>
  <c r="AF17" i="2"/>
  <c r="AI17" i="2" s="1"/>
  <c r="AE5" i="2"/>
  <c r="AH5" i="2"/>
  <c r="AK5" i="2" s="1"/>
  <c r="AF9" i="2"/>
  <c r="AI9" i="2" s="1"/>
  <c r="AC9" i="2"/>
  <c r="AC7" i="2"/>
  <c r="AF7" i="2"/>
  <c r="AI7" i="2" s="1"/>
  <c r="AC15" i="2"/>
  <c r="AF15" i="2"/>
  <c r="AI15" i="2" s="1"/>
  <c r="AE21" i="2"/>
  <c r="AH21" i="2"/>
  <c r="AK21" i="2" s="1"/>
  <c r="AE22" i="2"/>
  <c r="AH22" i="2"/>
  <c r="AK22" i="2" s="1"/>
  <c r="AG25" i="2"/>
  <c r="AJ25" i="2" s="1"/>
  <c r="AD25" i="2"/>
  <c r="AE7" i="2"/>
  <c r="AH7" i="2"/>
  <c r="AK7" i="2" s="1"/>
  <c r="AC24" i="2"/>
  <c r="AF24" i="2"/>
  <c r="AI24" i="2" s="1"/>
  <c r="AC6" i="2"/>
  <c r="AF6" i="2"/>
  <c r="AI6" i="2" s="1"/>
  <c r="AC14" i="2"/>
  <c r="AF14" i="2"/>
  <c r="AI14" i="2" s="1"/>
  <c r="AH24" i="2"/>
  <c r="AK24" i="2" s="1"/>
  <c r="AE24" i="2"/>
  <c r="AC8" i="2"/>
  <c r="AF8" i="2"/>
  <c r="AI8" i="2" s="1"/>
  <c r="AE13" i="2"/>
  <c r="AH13" i="2"/>
  <c r="AK13" i="2" s="1"/>
  <c r="AG7" i="2"/>
  <c r="AJ7" i="2" s="1"/>
  <c r="AD7" i="2"/>
  <c r="AD15" i="2"/>
  <c r="AG15" i="2"/>
  <c r="AJ15" i="2" s="1"/>
  <c r="AH25" i="2"/>
  <c r="AK25" i="2" s="1"/>
  <c r="AE25" i="2"/>
  <c r="AE9" i="2"/>
  <c r="AD10" i="2"/>
  <c r="AC11" i="2"/>
  <c r="AE10" i="2"/>
  <c r="AD11" i="2"/>
  <c r="AC12" i="2"/>
  <c r="AE18" i="2"/>
  <c r="AD19" i="2"/>
  <c r="AC20" i="2"/>
  <c r="AE19" i="2"/>
  <c r="AD20" i="2"/>
  <c r="AC21" i="2"/>
</calcChain>
</file>

<file path=xl/sharedStrings.xml><?xml version="1.0" encoding="utf-8"?>
<sst xmlns="http://schemas.openxmlformats.org/spreadsheetml/2006/main" count="361" uniqueCount="61">
  <si>
    <t>DY=1</t>
  </si>
  <si>
    <t>DY=2</t>
  </si>
  <si>
    <t>DY=3</t>
  </si>
  <si>
    <t>1_30</t>
  </si>
  <si>
    <t>S1</t>
  </si>
  <si>
    <t>2_30</t>
  </si>
  <si>
    <t>S2</t>
  </si>
  <si>
    <t>3_30</t>
  </si>
  <si>
    <t>S3</t>
  </si>
  <si>
    <t>1_15_2_15</t>
  </si>
  <si>
    <t>S4</t>
  </si>
  <si>
    <t>1_15_3_15</t>
  </si>
  <si>
    <t>S5</t>
  </si>
  <si>
    <t>2_15_3_15</t>
  </si>
  <si>
    <t>S6</t>
  </si>
  <si>
    <t>1_10_2_10_3_10</t>
  </si>
  <si>
    <t>S7</t>
  </si>
  <si>
    <t>1_25_3_5</t>
  </si>
  <si>
    <t>S8</t>
  </si>
  <si>
    <t>1_20_3_10</t>
  </si>
  <si>
    <t>S9</t>
  </si>
  <si>
    <t>1_25_2_5</t>
  </si>
  <si>
    <t>S10</t>
  </si>
  <si>
    <t>1_20_2_10</t>
  </si>
  <si>
    <t>S11</t>
  </si>
  <si>
    <t>1_20_2_5_3_5</t>
  </si>
  <si>
    <t>S12</t>
  </si>
  <si>
    <t>1_15_2_10_3_5</t>
  </si>
  <si>
    <t>S13</t>
  </si>
  <si>
    <t>2_25_3_5</t>
  </si>
  <si>
    <t>S14</t>
  </si>
  <si>
    <t>2_20_3_10</t>
  </si>
  <si>
    <t>S15</t>
  </si>
  <si>
    <t>S16</t>
  </si>
  <si>
    <t>S17</t>
  </si>
  <si>
    <t>S18</t>
  </si>
  <si>
    <t>S19</t>
  </si>
  <si>
    <t>S20</t>
  </si>
  <si>
    <t>S21</t>
  </si>
  <si>
    <t>SCN</t>
  </si>
  <si>
    <t>ORIGINAL</t>
  </si>
  <si>
    <t>IRONED</t>
  </si>
  <si>
    <t>NORMALİZED FOR EACH DY</t>
  </si>
  <si>
    <t>1_10_2_20</t>
  </si>
  <si>
    <t>1_5_2_25</t>
  </si>
  <si>
    <t>1_10_3_20</t>
  </si>
  <si>
    <t>2_10_3_20</t>
  </si>
  <si>
    <t>1_5_3_25</t>
  </si>
  <si>
    <t>2_5_3_25</t>
  </si>
  <si>
    <t>K1</t>
  </si>
  <si>
    <t>K2</t>
  </si>
  <si>
    <t>K3</t>
  </si>
  <si>
    <t>S#</t>
  </si>
  <si>
    <t>NORM S1-DY=1</t>
  </si>
  <si>
    <t>%S1-DY1</t>
  </si>
  <si>
    <t>NORM S1</t>
  </si>
  <si>
    <t>%S1</t>
  </si>
  <si>
    <t>ENERGY</t>
  </si>
  <si>
    <t>LT</t>
  </si>
  <si>
    <t>PARAMETERS</t>
  </si>
  <si>
    <t>ABSOLUTE (KJ)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</si>
</sst>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sz val="11"/>
      <color rgb="FF0070C0"/>
      <name val="Arial"/>
      <family val="2"/>
      <scheme val="minor"/>
    </font>
    <font>
      <sz val="11"/>
      <color rgb="FF000000"/>
      <name val="&quot;Aptos Narrow&quot;"/>
    </font>
    <font>
      <sz val="11"/>
      <color rgb="FF000000"/>
      <name val="Arial"/>
      <family val="2"/>
    </font>
    <font>
      <sz val="11"/>
      <color theme="1"/>
      <name val="&quot;Aptos Narrow&quot;"/>
    </font>
    <font>
      <sz val="11"/>
      <color rgb="FFC00000"/>
      <name val="&quot;Aptos Narrow&quot;"/>
    </font>
    <font>
      <sz val="11"/>
      <color rgb="FFFF0000"/>
      <name val="&quot;Aptos Narrow&quot;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2" fillId="0" borderId="4" xfId="0" applyFont="1" applyBorder="1"/>
    <xf numFmtId="0" fontId="1" fillId="0" borderId="5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4" fillId="0" borderId="4" xfId="0" applyFont="1" applyBorder="1"/>
    <xf numFmtId="164" fontId="5" fillId="0" borderId="5" xfId="0" applyNumberFormat="1" applyFont="1" applyBorder="1" applyAlignment="1">
      <alignment horizontal="right"/>
    </xf>
    <xf numFmtId="164" fontId="6" fillId="0" borderId="5" xfId="0" applyNumberFormat="1" applyFont="1" applyBorder="1" applyAlignment="1">
      <alignment horizontal="right"/>
    </xf>
    <xf numFmtId="0" fontId="4" fillId="0" borderId="6" xfId="0" applyFont="1" applyBorder="1"/>
    <xf numFmtId="0" fontId="3" fillId="0" borderId="7" xfId="0" applyFont="1" applyBorder="1"/>
    <xf numFmtId="164" fontId="5" fillId="0" borderId="7" xfId="0" applyNumberFormat="1" applyFont="1" applyBorder="1" applyAlignment="1">
      <alignment horizontal="right"/>
    </xf>
    <xf numFmtId="164" fontId="6" fillId="0" borderId="7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2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1" xfId="0" applyFont="1" applyBorder="1"/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5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50"/>
  <sheetViews>
    <sheetView topLeftCell="Y1" zoomScale="150" zoomScaleNormal="150" workbookViewId="0">
      <selection activeCell="AL16" sqref="A1:XFD1048576"/>
    </sheetView>
  </sheetViews>
  <sheetFormatPr baseColWidth="10" defaultColWidth="12.6640625" defaultRowHeight="15.75" customHeight="1"/>
  <cols>
    <col min="1" max="1" width="15.1640625" style="1" bestFit="1" customWidth="1"/>
    <col min="2" max="2" width="5" style="1" bestFit="1" customWidth="1"/>
    <col min="3" max="5" width="6.1640625" style="1" bestFit="1" customWidth="1"/>
    <col min="6" max="6" width="5.5" style="1" customWidth="1"/>
    <col min="7" max="7" width="15.1640625" style="1" bestFit="1" customWidth="1"/>
    <col min="8" max="8" width="5" style="1" bestFit="1" customWidth="1"/>
    <col min="9" max="10" width="5.6640625" style="1" bestFit="1" customWidth="1"/>
    <col min="11" max="11" width="5.6640625" style="2" bestFit="1" customWidth="1"/>
    <col min="12" max="12" width="6.33203125" style="2" customWidth="1"/>
    <col min="13" max="13" width="27.1640625" style="2" bestFit="1" customWidth="1"/>
    <col min="14" max="14" width="5" style="1" bestFit="1" customWidth="1"/>
    <col min="15" max="17" width="5.6640625" style="1" bestFit="1" customWidth="1"/>
    <col min="18" max="18" width="12.6640625" style="1"/>
    <col min="19" max="20" width="6.6640625" style="1" bestFit="1" customWidth="1"/>
    <col min="21" max="21" width="7.6640625" style="1" bestFit="1" customWidth="1"/>
    <col min="22" max="22" width="12.6640625" style="1"/>
    <col min="23" max="23" width="5.6640625" style="1" bestFit="1" customWidth="1"/>
    <col min="24" max="25" width="4.6640625" style="1" bestFit="1" customWidth="1"/>
    <col min="26" max="26" width="4.6640625" style="1" customWidth="1"/>
    <col min="27" max="27" width="5.6640625" style="1" bestFit="1" customWidth="1"/>
    <col min="28" max="29" width="6.6640625" style="1" bestFit="1" customWidth="1"/>
    <col min="30" max="30" width="12.6640625" style="1"/>
    <col min="31" max="33" width="6.6640625" style="1" bestFit="1" customWidth="1"/>
    <col min="34" max="34" width="12.6640625" style="1"/>
    <col min="35" max="37" width="5.6640625" style="1" bestFit="1" customWidth="1"/>
    <col min="38" max="16384" width="12.6640625" style="1"/>
  </cols>
  <sheetData>
    <row r="1" spans="1:37" ht="15.75" customHeight="1" thickBot="1"/>
    <row r="2" spans="1:37" ht="15.75" customHeight="1">
      <c r="A2" s="3" t="s">
        <v>40</v>
      </c>
      <c r="G2" s="13" t="s">
        <v>41</v>
      </c>
      <c r="H2" s="14"/>
      <c r="I2" s="14"/>
      <c r="J2" s="14"/>
      <c r="K2" s="15"/>
      <c r="M2" s="4" t="s">
        <v>42</v>
      </c>
    </row>
    <row r="3" spans="1:37" ht="15.75" customHeight="1">
      <c r="A3" s="3"/>
      <c r="G3" s="16"/>
      <c r="K3" s="17"/>
      <c r="O3" s="4"/>
    </row>
    <row r="4" spans="1:37" ht="15">
      <c r="A4" s="5"/>
      <c r="B4" s="5" t="s">
        <v>39</v>
      </c>
      <c r="C4" s="5" t="s">
        <v>0</v>
      </c>
      <c r="D4" s="5" t="s">
        <v>1</v>
      </c>
      <c r="E4" s="5" t="s">
        <v>2</v>
      </c>
      <c r="G4" s="18"/>
      <c r="H4" s="5" t="s">
        <v>39</v>
      </c>
      <c r="I4" s="5" t="s">
        <v>0</v>
      </c>
      <c r="J4" s="5" t="s">
        <v>1</v>
      </c>
      <c r="K4" s="19" t="s">
        <v>2</v>
      </c>
      <c r="L4" s="5"/>
      <c r="M4" s="5"/>
      <c r="N4" s="5" t="s">
        <v>39</v>
      </c>
      <c r="O4" s="5" t="s">
        <v>0</v>
      </c>
      <c r="P4" s="5" t="s">
        <v>1</v>
      </c>
      <c r="Q4" s="5" t="s">
        <v>2</v>
      </c>
      <c r="S4" s="5" t="s">
        <v>0</v>
      </c>
      <c r="T4" s="5" t="s">
        <v>1</v>
      </c>
      <c r="U4" s="5" t="s">
        <v>2</v>
      </c>
      <c r="W4" s="5" t="s">
        <v>0</v>
      </c>
      <c r="X4" s="5" t="s">
        <v>1</v>
      </c>
      <c r="Y4" s="5" t="s">
        <v>2</v>
      </c>
      <c r="AA4" s="5" t="s">
        <v>0</v>
      </c>
      <c r="AB4" s="5" t="s">
        <v>1</v>
      </c>
      <c r="AC4" s="5" t="s">
        <v>2</v>
      </c>
      <c r="AE4" s="5" t="s">
        <v>0</v>
      </c>
      <c r="AF4" s="5" t="s">
        <v>1</v>
      </c>
      <c r="AG4" s="5" t="s">
        <v>2</v>
      </c>
      <c r="AI4" s="5" t="s">
        <v>0</v>
      </c>
      <c r="AJ4" s="5" t="s">
        <v>1</v>
      </c>
      <c r="AK4" s="5" t="s">
        <v>2</v>
      </c>
    </row>
    <row r="5" spans="1:37" ht="15">
      <c r="A5" s="6" t="s">
        <v>3</v>
      </c>
      <c r="B5" s="5" t="s">
        <v>4</v>
      </c>
      <c r="C5" s="8">
        <v>1</v>
      </c>
      <c r="D5" s="8">
        <v>0.40699999999999997</v>
      </c>
      <c r="E5" s="8">
        <v>0.22</v>
      </c>
      <c r="G5" s="20" t="s">
        <v>3</v>
      </c>
      <c r="H5" s="5" t="s">
        <v>4</v>
      </c>
      <c r="I5" s="8">
        <v>1</v>
      </c>
      <c r="J5" s="8">
        <v>0.40699999999999997</v>
      </c>
      <c r="K5" s="21">
        <v>0.22</v>
      </c>
      <c r="L5" s="8"/>
      <c r="M5" s="6" t="s">
        <v>3</v>
      </c>
      <c r="N5" s="5" t="s">
        <v>4</v>
      </c>
      <c r="O5" s="8">
        <v>1</v>
      </c>
      <c r="P5" s="8">
        <f t="shared" ref="P5:P25" si="0">J5/0.407</f>
        <v>1</v>
      </c>
      <c r="Q5" s="8">
        <f t="shared" ref="Q5:Q25" si="1">K5/0.22</f>
        <v>1</v>
      </c>
      <c r="S5" s="28">
        <f>13.664929*(1/I5)</f>
        <v>13.664929000000001</v>
      </c>
      <c r="T5" s="28">
        <f t="shared" ref="T5:U5" si="2">13.664929*(1/J5)</f>
        <v>33.574764127764134</v>
      </c>
      <c r="U5" s="28">
        <f t="shared" si="2"/>
        <v>62.113313636363642</v>
      </c>
      <c r="W5" s="28">
        <f>S5/13.664929</f>
        <v>1</v>
      </c>
      <c r="X5" s="28">
        <f t="shared" ref="X5:Y20" si="3">T5/13.664929</f>
        <v>2.4570024570024573</v>
      </c>
      <c r="Y5" s="28">
        <f t="shared" si="3"/>
        <v>4.5454545454545459</v>
      </c>
      <c r="Z5" s="28"/>
      <c r="AA5" s="28">
        <f>100*(W5-1)</f>
        <v>0</v>
      </c>
      <c r="AB5" s="28">
        <f t="shared" ref="AB5:AC20" si="4">100*(X5-1)</f>
        <v>145.70024570024574</v>
      </c>
      <c r="AC5" s="28">
        <f t="shared" si="4"/>
        <v>354.54545454545456</v>
      </c>
      <c r="AE5" s="29">
        <f>W5/1</f>
        <v>1</v>
      </c>
      <c r="AF5" s="29">
        <f>X5/2.457002457</f>
        <v>1.0000000000010001</v>
      </c>
      <c r="AG5" s="29">
        <f>Y5/4.545454545</f>
        <v>1.0000000001</v>
      </c>
      <c r="AI5" s="28">
        <f>100*(AE5-1)</f>
        <v>0</v>
      </c>
      <c r="AJ5" s="28">
        <f t="shared" ref="AJ5:AK20" si="5">100*(AF5-1)</f>
        <v>1.000088900582341E-10</v>
      </c>
      <c r="AK5" s="28">
        <f t="shared" si="5"/>
        <v>1.000000082740371E-8</v>
      </c>
    </row>
    <row r="6" spans="1:37" ht="15">
      <c r="A6" s="6" t="s">
        <v>21</v>
      </c>
      <c r="B6" s="5" t="s">
        <v>22</v>
      </c>
      <c r="C6" s="8">
        <v>0.97799999999999998</v>
      </c>
      <c r="D6" s="8">
        <v>0.4</v>
      </c>
      <c r="E6" s="8">
        <v>0.215</v>
      </c>
      <c r="G6" s="20" t="s">
        <v>21</v>
      </c>
      <c r="H6" s="5" t="s">
        <v>22</v>
      </c>
      <c r="I6" s="8">
        <v>0.97799999999999998</v>
      </c>
      <c r="J6" s="9">
        <v>0.39800000000000002</v>
      </c>
      <c r="K6" s="21">
        <v>0.215</v>
      </c>
      <c r="L6" s="8"/>
      <c r="M6" s="6" t="s">
        <v>21</v>
      </c>
      <c r="N6" s="5" t="s">
        <v>22</v>
      </c>
      <c r="O6" s="8">
        <v>0.97799999999999998</v>
      </c>
      <c r="P6" s="9">
        <f t="shared" si="0"/>
        <v>0.97788697788697798</v>
      </c>
      <c r="Q6" s="8">
        <f t="shared" si="1"/>
        <v>0.97727272727272729</v>
      </c>
      <c r="S6" s="28">
        <f t="shared" ref="S6:S7" si="6">13.664929*(1/I6)</f>
        <v>13.972320040899797</v>
      </c>
      <c r="T6" s="28">
        <f t="shared" ref="T6:T7" si="7">13.664929*(1/J6)</f>
        <v>34.333992462311556</v>
      </c>
      <c r="U6" s="28">
        <f t="shared" ref="U6:U7" si="8">13.664929*(1/K6)</f>
        <v>63.557809302325587</v>
      </c>
      <c r="W6" s="28">
        <f t="shared" ref="W6:W25" si="9">S6/13.664929</f>
        <v>1.0224948875255624</v>
      </c>
      <c r="X6" s="28">
        <f t="shared" si="3"/>
        <v>2.5125628140703515</v>
      </c>
      <c r="Y6" s="28">
        <f t="shared" si="3"/>
        <v>4.6511627906976747</v>
      </c>
      <c r="Z6" s="28"/>
      <c r="AA6" s="28">
        <f t="shared" ref="AA6:AA24" si="10">100*(W6-1)</f>
        <v>2.249488752556239</v>
      </c>
      <c r="AB6" s="28">
        <f t="shared" si="4"/>
        <v>151.25628140703515</v>
      </c>
      <c r="AC6" s="28">
        <f t="shared" si="4"/>
        <v>365.11627906976747</v>
      </c>
      <c r="AE6" s="29">
        <f t="shared" ref="AE6:AE25" si="11">W6/1</f>
        <v>1.0224948875255624</v>
      </c>
      <c r="AF6" s="29">
        <f t="shared" ref="AF6:AF25" si="12">X6/2.457002457</f>
        <v>1.0226130653276555</v>
      </c>
      <c r="AG6" s="29">
        <f t="shared" ref="AG6:AG25" si="13">Y6/4.545454545</f>
        <v>1.0232558140558139</v>
      </c>
      <c r="AI6" s="28">
        <f t="shared" ref="AI6:AI25" si="14">100*(AE6-1)</f>
        <v>2.249488752556239</v>
      </c>
      <c r="AJ6" s="28">
        <f t="shared" si="5"/>
        <v>2.2613065327655502</v>
      </c>
      <c r="AK6" s="28">
        <f t="shared" si="5"/>
        <v>2.3255814055813895</v>
      </c>
    </row>
    <row r="7" spans="1:37" ht="15">
      <c r="A7" s="6" t="s">
        <v>23</v>
      </c>
      <c r="B7" s="5" t="s">
        <v>24</v>
      </c>
      <c r="C7" s="8">
        <v>0.96799999999999997</v>
      </c>
      <c r="D7" s="8">
        <v>0.38700000000000001</v>
      </c>
      <c r="E7" s="8">
        <v>0.20599999999999999</v>
      </c>
      <c r="G7" s="20" t="s">
        <v>23</v>
      </c>
      <c r="H7" s="5" t="s">
        <v>24</v>
      </c>
      <c r="I7" s="8">
        <v>0.96799999999999997</v>
      </c>
      <c r="J7" s="8">
        <v>0.38700000000000001</v>
      </c>
      <c r="K7" s="21">
        <v>0.20599999999999999</v>
      </c>
      <c r="L7" s="8"/>
      <c r="M7" s="6" t="s">
        <v>23</v>
      </c>
      <c r="N7" s="5" t="s">
        <v>24</v>
      </c>
      <c r="O7" s="8">
        <v>0.96799999999999997</v>
      </c>
      <c r="P7" s="8">
        <f t="shared" si="0"/>
        <v>0.9508599508599509</v>
      </c>
      <c r="Q7" s="8">
        <f t="shared" si="1"/>
        <v>0.93636363636363629</v>
      </c>
      <c r="S7" s="28">
        <f t="shared" si="6"/>
        <v>14.116662190082646</v>
      </c>
      <c r="T7" s="28">
        <f t="shared" si="7"/>
        <v>35.309894056847547</v>
      </c>
      <c r="U7" s="28">
        <f t="shared" si="8"/>
        <v>66.334606796116518</v>
      </c>
      <c r="W7" s="28">
        <f t="shared" si="9"/>
        <v>1.0330578512396695</v>
      </c>
      <c r="X7" s="28">
        <f t="shared" si="3"/>
        <v>2.5839793281653747</v>
      </c>
      <c r="Y7" s="28">
        <f t="shared" si="3"/>
        <v>4.8543689320388355</v>
      </c>
      <c r="Z7" s="28"/>
      <c r="AA7" s="28">
        <f t="shared" si="10"/>
        <v>3.3057851239669533</v>
      </c>
      <c r="AB7" s="28">
        <f t="shared" si="4"/>
        <v>158.39793281653746</v>
      </c>
      <c r="AC7" s="28">
        <f t="shared" si="4"/>
        <v>385.43689320388353</v>
      </c>
      <c r="AE7" s="29">
        <f t="shared" si="11"/>
        <v>1.0330578512396695</v>
      </c>
      <c r="AF7" s="29">
        <f t="shared" si="12"/>
        <v>1.0516795865643591</v>
      </c>
      <c r="AG7" s="29">
        <f t="shared" si="13"/>
        <v>1.0679611651553398</v>
      </c>
      <c r="AI7" s="28">
        <f t="shared" si="14"/>
        <v>3.3057851239669533</v>
      </c>
      <c r="AJ7" s="28">
        <f t="shared" si="5"/>
        <v>5.1679586564359115</v>
      </c>
      <c r="AK7" s="28">
        <f t="shared" si="5"/>
        <v>6.7961165155339787</v>
      </c>
    </row>
    <row r="8" spans="1:37" ht="15">
      <c r="A8" s="6" t="s">
        <v>9</v>
      </c>
      <c r="B8" s="5" t="s">
        <v>10</v>
      </c>
      <c r="C8" s="8">
        <v>0.96199999999999997</v>
      </c>
      <c r="D8" s="8">
        <v>0.377</v>
      </c>
      <c r="E8" s="8">
        <v>0.2</v>
      </c>
      <c r="G8" s="20" t="s">
        <v>9</v>
      </c>
      <c r="H8" s="5" t="s">
        <v>10</v>
      </c>
      <c r="I8" s="8">
        <v>0.96199999999999997</v>
      </c>
      <c r="J8" s="8">
        <v>0.377</v>
      </c>
      <c r="K8" s="22">
        <v>0.20300000000000001</v>
      </c>
      <c r="L8" s="9"/>
      <c r="M8" s="6" t="s">
        <v>9</v>
      </c>
      <c r="N8" s="5" t="s">
        <v>10</v>
      </c>
      <c r="O8" s="8">
        <v>0.96199999999999997</v>
      </c>
      <c r="P8" s="8">
        <f t="shared" si="0"/>
        <v>0.92628992628992635</v>
      </c>
      <c r="Q8" s="9">
        <f t="shared" si="1"/>
        <v>0.92272727272727284</v>
      </c>
      <c r="S8" s="28">
        <f t="shared" ref="S8:S25" si="15">13.664929*(1/I8)</f>
        <v>14.204707900207902</v>
      </c>
      <c r="T8" s="28">
        <f t="shared" ref="T8:T25" si="16">13.664929*(1/J8)</f>
        <v>36.24649602122016</v>
      </c>
      <c r="U8" s="28">
        <f t="shared" ref="U8:U25" si="17">13.664929*(1/K8)</f>
        <v>67.314921182266005</v>
      </c>
      <c r="W8" s="28">
        <f t="shared" si="9"/>
        <v>1.0395010395010396</v>
      </c>
      <c r="X8" s="28">
        <f t="shared" si="3"/>
        <v>2.6525198938992043</v>
      </c>
      <c r="Y8" s="28">
        <f t="shared" si="3"/>
        <v>4.9261083743842358</v>
      </c>
      <c r="Z8" s="28"/>
      <c r="AA8" s="28">
        <f t="shared" si="10"/>
        <v>3.9501039501039559</v>
      </c>
      <c r="AB8" s="28">
        <f t="shared" si="4"/>
        <v>165.25198938992042</v>
      </c>
      <c r="AC8" s="28">
        <f t="shared" si="4"/>
        <v>392.61083743842357</v>
      </c>
      <c r="AE8" s="29">
        <f t="shared" si="11"/>
        <v>1.0395010395010396</v>
      </c>
      <c r="AF8" s="29">
        <f t="shared" si="12"/>
        <v>1.0795755968180556</v>
      </c>
      <c r="AG8" s="29">
        <f t="shared" si="13"/>
        <v>1.0837438424729062</v>
      </c>
      <c r="AI8" s="28">
        <f t="shared" si="14"/>
        <v>3.9501039501039559</v>
      </c>
      <c r="AJ8" s="28">
        <f t="shared" si="5"/>
        <v>7.9575596818055594</v>
      </c>
      <c r="AK8" s="28">
        <f t="shared" si="5"/>
        <v>8.3743842472906227</v>
      </c>
    </row>
    <row r="9" spans="1:37" ht="15">
      <c r="A9" s="6" t="s">
        <v>17</v>
      </c>
      <c r="B9" s="5" t="s">
        <v>18</v>
      </c>
      <c r="C9" s="8">
        <v>0.96199999999999997</v>
      </c>
      <c r="D9" s="8">
        <v>0.39200000000000002</v>
      </c>
      <c r="E9" s="8">
        <v>0.20499999999999999</v>
      </c>
      <c r="G9" s="20" t="s">
        <v>17</v>
      </c>
      <c r="H9" s="5" t="s">
        <v>18</v>
      </c>
      <c r="I9" s="9">
        <v>0.96099999999999997</v>
      </c>
      <c r="J9" s="9">
        <v>0.375</v>
      </c>
      <c r="K9" s="22">
        <v>0.20200000000000001</v>
      </c>
      <c r="L9" s="9"/>
      <c r="M9" s="6" t="s">
        <v>17</v>
      </c>
      <c r="N9" s="5" t="s">
        <v>18</v>
      </c>
      <c r="O9" s="9">
        <v>0.96099999999999997</v>
      </c>
      <c r="P9" s="9">
        <f t="shared" si="0"/>
        <v>0.92137592137592139</v>
      </c>
      <c r="Q9" s="9">
        <f t="shared" si="1"/>
        <v>0.91818181818181821</v>
      </c>
      <c r="S9" s="28">
        <f t="shared" si="15"/>
        <v>14.219489073881375</v>
      </c>
      <c r="T9" s="28">
        <f t="shared" si="16"/>
        <v>36.439810666666666</v>
      </c>
      <c r="U9" s="28">
        <f t="shared" si="17"/>
        <v>67.648163366336632</v>
      </c>
      <c r="W9" s="28">
        <f t="shared" si="9"/>
        <v>1.0405827263267431</v>
      </c>
      <c r="X9" s="28">
        <f t="shared" si="3"/>
        <v>2.6666666666666665</v>
      </c>
      <c r="Y9" s="28">
        <f t="shared" si="3"/>
        <v>4.9504950495049505</v>
      </c>
      <c r="Z9" s="28"/>
      <c r="AA9" s="28">
        <f t="shared" si="10"/>
        <v>4.058272632674309</v>
      </c>
      <c r="AB9" s="28">
        <f t="shared" si="4"/>
        <v>166.66666666666666</v>
      </c>
      <c r="AC9" s="28">
        <f t="shared" si="4"/>
        <v>395.04950495049502</v>
      </c>
      <c r="AE9" s="29">
        <f t="shared" si="11"/>
        <v>1.0405827263267431</v>
      </c>
      <c r="AF9" s="29">
        <f t="shared" si="12"/>
        <v>1.0853333333344186</v>
      </c>
      <c r="AG9" s="29">
        <f t="shared" si="13"/>
        <v>1.0891089110000001</v>
      </c>
      <c r="AI9" s="28">
        <f t="shared" si="14"/>
        <v>4.058272632674309</v>
      </c>
      <c r="AJ9" s="28">
        <f t="shared" si="5"/>
        <v>8.5333333334418615</v>
      </c>
      <c r="AK9" s="28">
        <f t="shared" si="5"/>
        <v>8.9108911000000077</v>
      </c>
    </row>
    <row r="10" spans="1:37" ht="15">
      <c r="A10" s="6" t="s">
        <v>25</v>
      </c>
      <c r="B10" s="5" t="s">
        <v>26</v>
      </c>
      <c r="C10" s="8">
        <v>0.95799999999999996</v>
      </c>
      <c r="D10" s="8">
        <v>0.376</v>
      </c>
      <c r="E10" s="8">
        <v>0.19700000000000001</v>
      </c>
      <c r="G10" s="20" t="s">
        <v>25</v>
      </c>
      <c r="H10" s="5" t="s">
        <v>26</v>
      </c>
      <c r="I10" s="8">
        <v>0.95799999999999996</v>
      </c>
      <c r="J10" s="9">
        <v>0.373</v>
      </c>
      <c r="K10" s="21">
        <v>0.19700000000000001</v>
      </c>
      <c r="L10" s="8"/>
      <c r="M10" s="6" t="s">
        <v>25</v>
      </c>
      <c r="N10" s="5" t="s">
        <v>26</v>
      </c>
      <c r="O10" s="8">
        <v>0.95799999999999996</v>
      </c>
      <c r="P10" s="9">
        <f t="shared" si="0"/>
        <v>0.91646191646191655</v>
      </c>
      <c r="Q10" s="8">
        <f t="shared" si="1"/>
        <v>0.8954545454545455</v>
      </c>
      <c r="S10" s="28">
        <f t="shared" si="15"/>
        <v>14.264017745302716</v>
      </c>
      <c r="T10" s="28">
        <f t="shared" si="16"/>
        <v>36.635198391420914</v>
      </c>
      <c r="U10" s="28">
        <f t="shared" si="17"/>
        <v>69.365121827411173</v>
      </c>
      <c r="W10" s="28">
        <f t="shared" si="9"/>
        <v>1.0438413361169103</v>
      </c>
      <c r="X10" s="28">
        <f t="shared" si="3"/>
        <v>2.6809651474530831</v>
      </c>
      <c r="Y10" s="28">
        <f t="shared" si="3"/>
        <v>5.0761421319796955</v>
      </c>
      <c r="Z10" s="28"/>
      <c r="AA10" s="28">
        <f t="shared" si="10"/>
        <v>4.3841336116910323</v>
      </c>
      <c r="AB10" s="28">
        <f t="shared" si="4"/>
        <v>168.0965147453083</v>
      </c>
      <c r="AC10" s="28">
        <f t="shared" si="4"/>
        <v>407.61421319796955</v>
      </c>
      <c r="AE10" s="29">
        <f t="shared" si="11"/>
        <v>1.0438413361169103</v>
      </c>
      <c r="AF10" s="29">
        <f t="shared" si="12"/>
        <v>1.0911528150144958</v>
      </c>
      <c r="AG10" s="29">
        <f t="shared" si="13"/>
        <v>1.1167512691472081</v>
      </c>
      <c r="AI10" s="28">
        <f t="shared" si="14"/>
        <v>4.3841336116910323</v>
      </c>
      <c r="AJ10" s="28">
        <f t="shared" si="5"/>
        <v>9.11528150144958</v>
      </c>
      <c r="AK10" s="28">
        <f t="shared" si="5"/>
        <v>11.675126914720813</v>
      </c>
    </row>
    <row r="11" spans="1:37" ht="15">
      <c r="A11" s="6" t="s">
        <v>43</v>
      </c>
      <c r="B11" s="5" t="s">
        <v>38</v>
      </c>
      <c r="C11" s="8">
        <v>0.94899999999999995</v>
      </c>
      <c r="D11" s="8">
        <v>0.375</v>
      </c>
      <c r="E11" s="8">
        <v>0.187</v>
      </c>
      <c r="G11" s="20" t="s">
        <v>43</v>
      </c>
      <c r="H11" s="5" t="s">
        <v>38</v>
      </c>
      <c r="I11" s="8">
        <v>0.94899999999999995</v>
      </c>
      <c r="J11" s="9">
        <v>0.372</v>
      </c>
      <c r="K11" s="21">
        <v>0.187</v>
      </c>
      <c r="L11" s="8"/>
      <c r="M11" s="6" t="s">
        <v>43</v>
      </c>
      <c r="N11" s="5" t="s">
        <v>38</v>
      </c>
      <c r="O11" s="8">
        <v>0.94899999999999995</v>
      </c>
      <c r="P11" s="9">
        <f t="shared" si="0"/>
        <v>0.91400491400491402</v>
      </c>
      <c r="Q11" s="8">
        <f t="shared" si="1"/>
        <v>0.85</v>
      </c>
      <c r="S11" s="28">
        <f t="shared" si="15"/>
        <v>14.399292939936776</v>
      </c>
      <c r="T11" s="28">
        <f t="shared" si="16"/>
        <v>36.73368010752688</v>
      </c>
      <c r="U11" s="28">
        <f t="shared" si="17"/>
        <v>73.074486631016043</v>
      </c>
      <c r="W11" s="28">
        <f t="shared" si="9"/>
        <v>1.053740779768177</v>
      </c>
      <c r="X11" s="28">
        <f t="shared" si="3"/>
        <v>2.6881720430107525</v>
      </c>
      <c r="Y11" s="28">
        <f t="shared" si="3"/>
        <v>5.3475935828877006</v>
      </c>
      <c r="Z11" s="28"/>
      <c r="AA11" s="28">
        <f t="shared" si="10"/>
        <v>5.3740779768177038</v>
      </c>
      <c r="AB11" s="28">
        <f t="shared" si="4"/>
        <v>168.81720430107526</v>
      </c>
      <c r="AC11" s="28">
        <f t="shared" si="4"/>
        <v>434.75935828877004</v>
      </c>
      <c r="AE11" s="29">
        <f t="shared" si="11"/>
        <v>1.053740779768177</v>
      </c>
      <c r="AF11" s="29">
        <f t="shared" si="12"/>
        <v>1.0940860215064703</v>
      </c>
      <c r="AG11" s="29">
        <f t="shared" si="13"/>
        <v>1.1764705883529412</v>
      </c>
      <c r="AI11" s="28">
        <f t="shared" si="14"/>
        <v>5.3740779768177038</v>
      </c>
      <c r="AJ11" s="28">
        <f t="shared" si="5"/>
        <v>9.4086021506470274</v>
      </c>
      <c r="AK11" s="28">
        <f t="shared" si="5"/>
        <v>17.647058835294118</v>
      </c>
    </row>
    <row r="12" spans="1:37" ht="15">
      <c r="A12" s="6" t="s">
        <v>27</v>
      </c>
      <c r="B12" s="5" t="s">
        <v>28</v>
      </c>
      <c r="C12" s="8">
        <v>0.94299999999999995</v>
      </c>
      <c r="D12" s="8">
        <v>0.36599999999999999</v>
      </c>
      <c r="E12" s="8">
        <v>0.17</v>
      </c>
      <c r="G12" s="20" t="s">
        <v>27</v>
      </c>
      <c r="H12" s="5" t="s">
        <v>28</v>
      </c>
      <c r="I12" s="8">
        <v>0.94299999999999995</v>
      </c>
      <c r="J12" s="8">
        <v>0.36599999999999999</v>
      </c>
      <c r="K12" s="21">
        <v>0.17</v>
      </c>
      <c r="L12" s="8"/>
      <c r="M12" s="6" t="s">
        <v>27</v>
      </c>
      <c r="N12" s="5" t="s">
        <v>28</v>
      </c>
      <c r="O12" s="8">
        <v>0.94299999999999995</v>
      </c>
      <c r="P12" s="8">
        <f t="shared" si="0"/>
        <v>0.89926289926289926</v>
      </c>
      <c r="Q12" s="8">
        <f t="shared" si="1"/>
        <v>0.77272727272727282</v>
      </c>
      <c r="S12" s="28">
        <f t="shared" si="15"/>
        <v>14.490910922587489</v>
      </c>
      <c r="T12" s="28">
        <f t="shared" si="16"/>
        <v>37.335871584699454</v>
      </c>
      <c r="U12" s="28">
        <f t="shared" si="17"/>
        <v>80.381935294117639</v>
      </c>
      <c r="W12" s="28">
        <f t="shared" si="9"/>
        <v>1.0604453870625663</v>
      </c>
      <c r="X12" s="28">
        <f t="shared" si="3"/>
        <v>2.7322404371584699</v>
      </c>
      <c r="Y12" s="28">
        <f t="shared" si="3"/>
        <v>5.8823529411764692</v>
      </c>
      <c r="Z12" s="28"/>
      <c r="AA12" s="28">
        <f t="shared" si="10"/>
        <v>6.0445387062566303</v>
      </c>
      <c r="AB12" s="28">
        <f t="shared" si="4"/>
        <v>173.22404371584699</v>
      </c>
      <c r="AC12" s="28">
        <f t="shared" si="4"/>
        <v>488.2352941176469</v>
      </c>
      <c r="AE12" s="29">
        <f t="shared" si="11"/>
        <v>1.0604453870625663</v>
      </c>
      <c r="AF12" s="29">
        <f t="shared" si="12"/>
        <v>1.1120218579246093</v>
      </c>
      <c r="AG12" s="29">
        <f t="shared" si="13"/>
        <v>1.294117647188235</v>
      </c>
      <c r="AI12" s="28">
        <f t="shared" si="14"/>
        <v>6.0445387062566303</v>
      </c>
      <c r="AJ12" s="28">
        <f t="shared" si="5"/>
        <v>11.202185792460927</v>
      </c>
      <c r="AK12" s="28">
        <f t="shared" si="5"/>
        <v>29.411764718823498</v>
      </c>
    </row>
    <row r="13" spans="1:37" ht="15">
      <c r="A13" s="6" t="s">
        <v>44</v>
      </c>
      <c r="B13" s="5" t="s">
        <v>37</v>
      </c>
      <c r="C13" s="8">
        <v>0.92200000000000004</v>
      </c>
      <c r="D13" s="8">
        <v>0.35399999999999998</v>
      </c>
      <c r="E13" s="8">
        <v>0.16</v>
      </c>
      <c r="G13" s="20" t="s">
        <v>44</v>
      </c>
      <c r="H13" s="5" t="s">
        <v>37</v>
      </c>
      <c r="I13" s="9">
        <v>0.92900000000000005</v>
      </c>
      <c r="J13" s="8">
        <v>0.35399999999999998</v>
      </c>
      <c r="K13" s="21">
        <v>0.16</v>
      </c>
      <c r="L13" s="8"/>
      <c r="M13" s="6" t="s">
        <v>44</v>
      </c>
      <c r="N13" s="5" t="s">
        <v>37</v>
      </c>
      <c r="O13" s="9">
        <v>0.92900000000000005</v>
      </c>
      <c r="P13" s="8">
        <f t="shared" si="0"/>
        <v>0.86977886977886976</v>
      </c>
      <c r="Q13" s="8">
        <f t="shared" si="1"/>
        <v>0.72727272727272729</v>
      </c>
      <c r="S13" s="28">
        <f t="shared" si="15"/>
        <v>14.709288482238968</v>
      </c>
      <c r="T13" s="28">
        <f t="shared" si="16"/>
        <v>38.601494350282493</v>
      </c>
      <c r="U13" s="28">
        <f t="shared" si="17"/>
        <v>85.405806250000012</v>
      </c>
      <c r="W13" s="28">
        <f t="shared" si="9"/>
        <v>1.0764262648008611</v>
      </c>
      <c r="X13" s="28">
        <f t="shared" si="3"/>
        <v>2.8248587570621475</v>
      </c>
      <c r="Y13" s="28">
        <f t="shared" si="3"/>
        <v>6.2500000000000009</v>
      </c>
      <c r="Z13" s="28"/>
      <c r="AA13" s="28">
        <f t="shared" si="10"/>
        <v>7.6426264800861121</v>
      </c>
      <c r="AB13" s="28">
        <f t="shared" si="4"/>
        <v>182.48587570621476</v>
      </c>
      <c r="AC13" s="28">
        <f t="shared" si="4"/>
        <v>525.00000000000011</v>
      </c>
      <c r="AE13" s="29">
        <f t="shared" si="11"/>
        <v>1.0764262648008611</v>
      </c>
      <c r="AF13" s="29">
        <f t="shared" si="12"/>
        <v>1.1497175141254437</v>
      </c>
      <c r="AG13" s="29">
        <f t="shared" si="13"/>
        <v>1.3750000001375002</v>
      </c>
      <c r="AI13" s="28">
        <f t="shared" si="14"/>
        <v>7.6426264800861121</v>
      </c>
      <c r="AJ13" s="28">
        <f t="shared" si="5"/>
        <v>14.971751412544364</v>
      </c>
      <c r="AK13" s="28">
        <f t="shared" si="5"/>
        <v>37.500000013750025</v>
      </c>
    </row>
    <row r="14" spans="1:37" ht="15">
      <c r="A14" s="6" t="s">
        <v>19</v>
      </c>
      <c r="B14" s="5" t="s">
        <v>20</v>
      </c>
      <c r="C14" s="8">
        <v>0.92200000000000004</v>
      </c>
      <c r="D14" s="8">
        <v>0.251</v>
      </c>
      <c r="E14" s="8">
        <v>0.14000000000000001</v>
      </c>
      <c r="G14" s="20" t="s">
        <v>19</v>
      </c>
      <c r="H14" s="5" t="s">
        <v>20</v>
      </c>
      <c r="I14" s="8">
        <v>0.92200000000000004</v>
      </c>
      <c r="J14" s="9">
        <v>0.34300000000000003</v>
      </c>
      <c r="K14" s="22">
        <v>0.154</v>
      </c>
      <c r="L14" s="9"/>
      <c r="M14" s="6" t="s">
        <v>19</v>
      </c>
      <c r="N14" s="5" t="s">
        <v>20</v>
      </c>
      <c r="O14" s="8">
        <v>0.92200000000000004</v>
      </c>
      <c r="P14" s="9">
        <f t="shared" si="0"/>
        <v>0.84275184275184289</v>
      </c>
      <c r="Q14" s="9">
        <f t="shared" si="1"/>
        <v>0.7</v>
      </c>
      <c r="S14" s="28">
        <f t="shared" si="15"/>
        <v>14.820964208242952</v>
      </c>
      <c r="T14" s="28">
        <f t="shared" si="16"/>
        <v>39.839443148688048</v>
      </c>
      <c r="U14" s="28">
        <f t="shared" si="17"/>
        <v>88.733305194805197</v>
      </c>
      <c r="W14" s="28">
        <f t="shared" si="9"/>
        <v>1.0845986984815619</v>
      </c>
      <c r="X14" s="28">
        <f t="shared" si="3"/>
        <v>2.9154518950437316</v>
      </c>
      <c r="Y14" s="28">
        <f t="shared" si="3"/>
        <v>6.4935064935064934</v>
      </c>
      <c r="Z14" s="28"/>
      <c r="AA14" s="28">
        <f t="shared" si="10"/>
        <v>8.4598698481561883</v>
      </c>
      <c r="AB14" s="28">
        <f t="shared" si="4"/>
        <v>191.54518950437316</v>
      </c>
      <c r="AC14" s="28">
        <f t="shared" si="4"/>
        <v>549.35064935064929</v>
      </c>
      <c r="AE14" s="29">
        <f t="shared" si="11"/>
        <v>1.0845986984815619</v>
      </c>
      <c r="AF14" s="29">
        <f t="shared" si="12"/>
        <v>1.1865889212839853</v>
      </c>
      <c r="AG14" s="29">
        <f t="shared" si="13"/>
        <v>1.4285714287142857</v>
      </c>
      <c r="AI14" s="28">
        <f t="shared" si="14"/>
        <v>8.4598698481561883</v>
      </c>
      <c r="AJ14" s="28">
        <f t="shared" si="5"/>
        <v>18.658892128398531</v>
      </c>
      <c r="AK14" s="28">
        <f t="shared" si="5"/>
        <v>42.857142871428564</v>
      </c>
    </row>
    <row r="15" spans="1:37" ht="15">
      <c r="A15" s="6" t="s">
        <v>5</v>
      </c>
      <c r="B15" s="5" t="s">
        <v>6</v>
      </c>
      <c r="C15" s="8">
        <v>0.89100000000000001</v>
      </c>
      <c r="D15" s="8">
        <v>0.34</v>
      </c>
      <c r="E15" s="8">
        <v>0.14199999999999999</v>
      </c>
      <c r="G15" s="20" t="s">
        <v>5</v>
      </c>
      <c r="H15" s="5" t="s">
        <v>6</v>
      </c>
      <c r="I15" s="8">
        <v>0.89100000000000001</v>
      </c>
      <c r="J15" s="9">
        <v>0.34100000000000003</v>
      </c>
      <c r="K15" s="22">
        <v>0.14899999999999999</v>
      </c>
      <c r="L15" s="9"/>
      <c r="M15" s="6" t="s">
        <v>5</v>
      </c>
      <c r="N15" s="5" t="s">
        <v>6</v>
      </c>
      <c r="O15" s="8">
        <v>0.89100000000000001</v>
      </c>
      <c r="P15" s="9">
        <f t="shared" si="0"/>
        <v>0.83783783783783794</v>
      </c>
      <c r="Q15" s="9">
        <f t="shared" si="1"/>
        <v>0.67727272727272725</v>
      </c>
      <c r="S15" s="28">
        <f t="shared" si="15"/>
        <v>15.336620650953986</v>
      </c>
      <c r="T15" s="28">
        <f t="shared" si="16"/>
        <v>40.073105571847506</v>
      </c>
      <c r="U15" s="28">
        <f t="shared" si="17"/>
        <v>91.710932885906047</v>
      </c>
      <c r="W15" s="28">
        <f t="shared" si="9"/>
        <v>1.122334455667789</v>
      </c>
      <c r="X15" s="28">
        <f t="shared" si="3"/>
        <v>2.9325513196480935</v>
      </c>
      <c r="Y15" s="28">
        <f t="shared" si="3"/>
        <v>6.7114093959731544</v>
      </c>
      <c r="Z15" s="28"/>
      <c r="AA15" s="28">
        <f t="shared" si="10"/>
        <v>12.233445566778901</v>
      </c>
      <c r="AB15" s="28">
        <f t="shared" si="4"/>
        <v>193.25513196480935</v>
      </c>
      <c r="AC15" s="28">
        <f t="shared" si="4"/>
        <v>571.14093959731542</v>
      </c>
      <c r="AE15" s="29">
        <f t="shared" si="11"/>
        <v>1.122334455667789</v>
      </c>
      <c r="AF15" s="29">
        <f t="shared" si="12"/>
        <v>1.1935483870979675</v>
      </c>
      <c r="AG15" s="29">
        <f t="shared" si="13"/>
        <v>1.4765100672617451</v>
      </c>
      <c r="AI15" s="28">
        <f t="shared" si="14"/>
        <v>12.233445566778901</v>
      </c>
      <c r="AJ15" s="28">
        <f t="shared" si="5"/>
        <v>19.354838709796752</v>
      </c>
      <c r="AK15" s="28">
        <f t="shared" si="5"/>
        <v>47.651006726174508</v>
      </c>
    </row>
    <row r="16" spans="1:37" ht="15">
      <c r="A16" s="6" t="s">
        <v>15</v>
      </c>
      <c r="B16" s="5" t="s">
        <v>16</v>
      </c>
      <c r="C16" s="8">
        <v>0.89</v>
      </c>
      <c r="D16" s="8">
        <v>0.33900000000000002</v>
      </c>
      <c r="E16" s="8">
        <v>0.17599999999999999</v>
      </c>
      <c r="G16" s="20" t="s">
        <v>15</v>
      </c>
      <c r="H16" s="5" t="s">
        <v>16</v>
      </c>
      <c r="I16" s="8">
        <v>0.89</v>
      </c>
      <c r="J16" s="8">
        <v>0.33900000000000002</v>
      </c>
      <c r="K16" s="22">
        <v>0.14799999999999999</v>
      </c>
      <c r="L16" s="9"/>
      <c r="M16" s="6" t="s">
        <v>15</v>
      </c>
      <c r="N16" s="5" t="s">
        <v>16</v>
      </c>
      <c r="O16" s="8">
        <v>0.89</v>
      </c>
      <c r="P16" s="8">
        <f t="shared" si="0"/>
        <v>0.83292383292383299</v>
      </c>
      <c r="Q16" s="9">
        <f t="shared" si="1"/>
        <v>0.67272727272727273</v>
      </c>
      <c r="S16" s="28">
        <f t="shared" si="15"/>
        <v>15.353852808988766</v>
      </c>
      <c r="T16" s="28">
        <f t="shared" si="16"/>
        <v>40.309525073746315</v>
      </c>
      <c r="U16" s="28">
        <f t="shared" si="17"/>
        <v>92.330601351351362</v>
      </c>
      <c r="W16" s="28">
        <f t="shared" si="9"/>
        <v>1.1235955056179776</v>
      </c>
      <c r="X16" s="28">
        <f t="shared" si="3"/>
        <v>2.9498525073746311</v>
      </c>
      <c r="Y16" s="28">
        <f t="shared" si="3"/>
        <v>6.756756756756757</v>
      </c>
      <c r="Z16" s="28"/>
      <c r="AA16" s="28">
        <f t="shared" si="10"/>
        <v>12.359550561797761</v>
      </c>
      <c r="AB16" s="28">
        <f t="shared" si="4"/>
        <v>194.9852507374631</v>
      </c>
      <c r="AC16" s="28">
        <f t="shared" si="4"/>
        <v>575.67567567567573</v>
      </c>
      <c r="AE16" s="29">
        <f t="shared" si="11"/>
        <v>1.1235955056179776</v>
      </c>
      <c r="AF16" s="29">
        <f t="shared" si="12"/>
        <v>1.2005899705026755</v>
      </c>
      <c r="AG16" s="29">
        <f t="shared" si="13"/>
        <v>1.4864864866351351</v>
      </c>
      <c r="AI16" s="28">
        <f t="shared" si="14"/>
        <v>12.359550561797761</v>
      </c>
      <c r="AJ16" s="28">
        <f t="shared" si="5"/>
        <v>20.058997050267546</v>
      </c>
      <c r="AK16" s="28">
        <f t="shared" si="5"/>
        <v>48.648648663513505</v>
      </c>
    </row>
    <row r="17" spans="1:37" ht="15">
      <c r="A17" s="6" t="s">
        <v>11</v>
      </c>
      <c r="B17" s="5" t="s">
        <v>12</v>
      </c>
      <c r="C17" s="8">
        <v>0.88200000000000001</v>
      </c>
      <c r="D17" s="8">
        <v>0.33700000000000002</v>
      </c>
      <c r="E17" s="8">
        <v>0.14699999999999999</v>
      </c>
      <c r="G17" s="20" t="s">
        <v>11</v>
      </c>
      <c r="H17" s="5" t="s">
        <v>12</v>
      </c>
      <c r="I17" s="8">
        <v>0.88200000000000001</v>
      </c>
      <c r="J17" s="8">
        <v>0.33700000000000002</v>
      </c>
      <c r="K17" s="21">
        <v>0.14699999999999999</v>
      </c>
      <c r="L17" s="8"/>
      <c r="M17" s="6" t="s">
        <v>11</v>
      </c>
      <c r="N17" s="5" t="s">
        <v>12</v>
      </c>
      <c r="O17" s="8">
        <v>0.88200000000000001</v>
      </c>
      <c r="P17" s="8">
        <f t="shared" si="0"/>
        <v>0.82800982800982814</v>
      </c>
      <c r="Q17" s="8">
        <f t="shared" si="1"/>
        <v>0.6681818181818181</v>
      </c>
      <c r="S17" s="28">
        <f t="shared" si="15"/>
        <v>15.493116780045352</v>
      </c>
      <c r="T17" s="28">
        <f t="shared" si="16"/>
        <v>40.548750741839761</v>
      </c>
      <c r="U17" s="28">
        <f t="shared" si="17"/>
        <v>92.958700680272116</v>
      </c>
      <c r="W17" s="28">
        <f t="shared" si="9"/>
        <v>1.1337868480725624</v>
      </c>
      <c r="X17" s="28">
        <f t="shared" si="3"/>
        <v>2.9673590504451037</v>
      </c>
      <c r="Y17" s="28">
        <f t="shared" si="3"/>
        <v>6.8027210884353746</v>
      </c>
      <c r="Z17" s="28"/>
      <c r="AA17" s="28">
        <f t="shared" si="10"/>
        <v>13.378684807256235</v>
      </c>
      <c r="AB17" s="28">
        <f t="shared" si="4"/>
        <v>196.73590504451036</v>
      </c>
      <c r="AC17" s="28">
        <f t="shared" si="4"/>
        <v>580.27210884353747</v>
      </c>
      <c r="AE17" s="29">
        <f t="shared" si="11"/>
        <v>1.1337868480725624</v>
      </c>
      <c r="AF17" s="29">
        <f t="shared" si="12"/>
        <v>1.2077151335323648</v>
      </c>
      <c r="AG17" s="29">
        <f t="shared" si="13"/>
        <v>1.4965986396054423</v>
      </c>
      <c r="AI17" s="28">
        <f t="shared" si="14"/>
        <v>13.378684807256235</v>
      </c>
      <c r="AJ17" s="28">
        <f t="shared" si="5"/>
        <v>20.771513353236482</v>
      </c>
      <c r="AK17" s="28">
        <f t="shared" si="5"/>
        <v>49.659863960544229</v>
      </c>
    </row>
    <row r="18" spans="1:37" ht="15">
      <c r="A18" s="6" t="s">
        <v>29</v>
      </c>
      <c r="B18" s="5" t="s">
        <v>30</v>
      </c>
      <c r="C18" s="8">
        <v>0.86099999999999999</v>
      </c>
      <c r="D18" s="8">
        <v>0.34499999999999997</v>
      </c>
      <c r="E18" s="8">
        <v>0.105</v>
      </c>
      <c r="G18" s="20" t="s">
        <v>29</v>
      </c>
      <c r="H18" s="5" t="s">
        <v>30</v>
      </c>
      <c r="I18" s="8">
        <v>0.86099999999999999</v>
      </c>
      <c r="J18" s="9">
        <v>0.32900000000000001</v>
      </c>
      <c r="K18" s="22">
        <v>0.14299999999999999</v>
      </c>
      <c r="L18" s="9"/>
      <c r="M18" s="6" t="s">
        <v>29</v>
      </c>
      <c r="N18" s="5" t="s">
        <v>30</v>
      </c>
      <c r="O18" s="8">
        <v>0.86099999999999999</v>
      </c>
      <c r="P18" s="9">
        <f t="shared" si="0"/>
        <v>0.80835380835380843</v>
      </c>
      <c r="Q18" s="9">
        <f t="shared" si="1"/>
        <v>0.64999999999999991</v>
      </c>
      <c r="S18" s="28">
        <f t="shared" si="15"/>
        <v>15.870997677119629</v>
      </c>
      <c r="T18" s="28">
        <f t="shared" si="16"/>
        <v>41.534738601823705</v>
      </c>
      <c r="U18" s="28">
        <f t="shared" si="17"/>
        <v>95.558944055944067</v>
      </c>
      <c r="W18" s="28">
        <f t="shared" si="9"/>
        <v>1.1614401858304297</v>
      </c>
      <c r="X18" s="28">
        <f t="shared" si="3"/>
        <v>3.0395136778115499</v>
      </c>
      <c r="Y18" s="28">
        <f t="shared" si="3"/>
        <v>6.9930069930069934</v>
      </c>
      <c r="Z18" s="28"/>
      <c r="AA18" s="28">
        <f t="shared" si="10"/>
        <v>16.144018583042975</v>
      </c>
      <c r="AB18" s="28">
        <f t="shared" si="4"/>
        <v>203.951367781155</v>
      </c>
      <c r="AC18" s="28">
        <f t="shared" si="4"/>
        <v>599.30069930069931</v>
      </c>
      <c r="AE18" s="29">
        <f t="shared" si="11"/>
        <v>1.1614401858304297</v>
      </c>
      <c r="AF18" s="29">
        <f t="shared" si="12"/>
        <v>1.2370820668705378</v>
      </c>
      <c r="AG18" s="29">
        <f t="shared" si="13"/>
        <v>1.5384615386153846</v>
      </c>
      <c r="AI18" s="28">
        <f t="shared" si="14"/>
        <v>16.144018583042975</v>
      </c>
      <c r="AJ18" s="28">
        <f t="shared" si="5"/>
        <v>23.708206687053778</v>
      </c>
      <c r="AK18" s="28">
        <f t="shared" si="5"/>
        <v>53.846153861538461</v>
      </c>
    </row>
    <row r="19" spans="1:37" ht="15">
      <c r="A19" s="6" t="s">
        <v>31</v>
      </c>
      <c r="B19" s="5" t="s">
        <v>32</v>
      </c>
      <c r="C19" s="8">
        <v>0.83799999999999997</v>
      </c>
      <c r="D19" s="8">
        <v>0.318</v>
      </c>
      <c r="E19" s="8">
        <v>0.14000000000000001</v>
      </c>
      <c r="G19" s="20" t="s">
        <v>31</v>
      </c>
      <c r="H19" s="5" t="s">
        <v>32</v>
      </c>
      <c r="I19" s="8">
        <v>0.83799999999999997</v>
      </c>
      <c r="J19" s="9">
        <v>0.32300000000000001</v>
      </c>
      <c r="K19" s="21">
        <v>0.14000000000000001</v>
      </c>
      <c r="L19" s="8"/>
      <c r="M19" s="6" t="s">
        <v>31</v>
      </c>
      <c r="N19" s="5" t="s">
        <v>32</v>
      </c>
      <c r="O19" s="8">
        <v>0.83799999999999997</v>
      </c>
      <c r="P19" s="9">
        <f t="shared" si="0"/>
        <v>0.79361179361179368</v>
      </c>
      <c r="Q19" s="8">
        <f t="shared" si="1"/>
        <v>0.63636363636363646</v>
      </c>
      <c r="S19" s="28">
        <f t="shared" si="15"/>
        <v>16.306597852028641</v>
      </c>
      <c r="T19" s="28">
        <f t="shared" si="16"/>
        <v>42.306281733746133</v>
      </c>
      <c r="U19" s="28">
        <f t="shared" si="17"/>
        <v>97.606635714285716</v>
      </c>
      <c r="W19" s="28">
        <f t="shared" si="9"/>
        <v>1.1933174224343677</v>
      </c>
      <c r="X19" s="28">
        <f t="shared" si="3"/>
        <v>3.0959752321981426</v>
      </c>
      <c r="Y19" s="28">
        <f t="shared" si="3"/>
        <v>7.1428571428571423</v>
      </c>
      <c r="Z19" s="28"/>
      <c r="AA19" s="28">
        <f t="shared" si="10"/>
        <v>19.331742243436768</v>
      </c>
      <c r="AB19" s="28">
        <f t="shared" si="4"/>
        <v>209.59752321981426</v>
      </c>
      <c r="AC19" s="28">
        <f t="shared" si="4"/>
        <v>614.28571428571422</v>
      </c>
      <c r="AE19" s="29">
        <f t="shared" si="11"/>
        <v>1.1933174224343677</v>
      </c>
      <c r="AF19" s="29">
        <f t="shared" si="12"/>
        <v>1.260061919505904</v>
      </c>
      <c r="AG19" s="29">
        <f t="shared" si="13"/>
        <v>1.5714285715857141</v>
      </c>
      <c r="AI19" s="28">
        <f t="shared" si="14"/>
        <v>19.331742243436768</v>
      </c>
      <c r="AJ19" s="28">
        <f t="shared" si="5"/>
        <v>26.006191950590395</v>
      </c>
      <c r="AK19" s="28">
        <f t="shared" si="5"/>
        <v>57.142857158571417</v>
      </c>
    </row>
    <row r="20" spans="1:37" ht="15">
      <c r="A20" s="6" t="s">
        <v>45</v>
      </c>
      <c r="B20" s="5" t="s">
        <v>34</v>
      </c>
      <c r="C20" s="8">
        <v>0.82299999999999995</v>
      </c>
      <c r="D20" s="8">
        <v>0.32100000000000001</v>
      </c>
      <c r="E20" s="8">
        <v>0.13800000000000001</v>
      </c>
      <c r="G20" s="20" t="s">
        <v>45</v>
      </c>
      <c r="H20" s="5" t="s">
        <v>34</v>
      </c>
      <c r="I20" s="8">
        <v>0.82299999999999995</v>
      </c>
      <c r="J20" s="8">
        <v>0.32100000000000001</v>
      </c>
      <c r="K20" s="21">
        <v>0.13800000000000001</v>
      </c>
      <c r="L20" s="8"/>
      <c r="M20" s="6" t="s">
        <v>45</v>
      </c>
      <c r="N20" s="5" t="s">
        <v>34</v>
      </c>
      <c r="O20" s="8">
        <v>0.82299999999999995</v>
      </c>
      <c r="P20" s="8">
        <f t="shared" si="0"/>
        <v>0.78869778869778873</v>
      </c>
      <c r="Q20" s="8">
        <f t="shared" si="1"/>
        <v>0.62727272727272732</v>
      </c>
      <c r="S20" s="28">
        <f t="shared" si="15"/>
        <v>16.603801944106927</v>
      </c>
      <c r="T20" s="28">
        <f t="shared" si="16"/>
        <v>42.5698722741433</v>
      </c>
      <c r="U20" s="28">
        <f t="shared" si="17"/>
        <v>99.021224637681158</v>
      </c>
      <c r="W20" s="28">
        <f t="shared" si="9"/>
        <v>1.2150668286755772</v>
      </c>
      <c r="X20" s="28">
        <f t="shared" si="3"/>
        <v>3.1152647975077881</v>
      </c>
      <c r="Y20" s="28">
        <f t="shared" si="3"/>
        <v>7.2463768115942022</v>
      </c>
      <c r="Z20" s="28"/>
      <c r="AA20" s="28">
        <f t="shared" si="10"/>
        <v>21.506682867557725</v>
      </c>
      <c r="AB20" s="28">
        <f t="shared" si="4"/>
        <v>211.5264797507788</v>
      </c>
      <c r="AC20" s="28">
        <f t="shared" si="4"/>
        <v>624.63768115942025</v>
      </c>
      <c r="AE20" s="29">
        <f t="shared" si="11"/>
        <v>1.2150668286755772</v>
      </c>
      <c r="AF20" s="29">
        <f t="shared" si="12"/>
        <v>1.2679127725869375</v>
      </c>
      <c r="AG20" s="29">
        <f t="shared" si="13"/>
        <v>1.5942028987101446</v>
      </c>
      <c r="AI20" s="28">
        <f t="shared" si="14"/>
        <v>21.506682867557725</v>
      </c>
      <c r="AJ20" s="28">
        <f t="shared" si="5"/>
        <v>26.791277258693746</v>
      </c>
      <c r="AK20" s="28">
        <f t="shared" si="5"/>
        <v>59.420289871014461</v>
      </c>
    </row>
    <row r="21" spans="1:37" ht="15">
      <c r="A21" s="6" t="s">
        <v>13</v>
      </c>
      <c r="B21" s="5" t="s">
        <v>14</v>
      </c>
      <c r="C21" s="8">
        <v>0.81100000000000005</v>
      </c>
      <c r="D21" s="8">
        <v>0.183</v>
      </c>
      <c r="E21" s="8">
        <v>0.14199999999999999</v>
      </c>
      <c r="G21" s="20" t="s">
        <v>13</v>
      </c>
      <c r="H21" s="5" t="s">
        <v>14</v>
      </c>
      <c r="I21" s="8">
        <v>0.81100000000000005</v>
      </c>
      <c r="J21" s="9">
        <v>0.29499999999999998</v>
      </c>
      <c r="K21" s="22">
        <v>0.13500000000000001</v>
      </c>
      <c r="L21" s="9"/>
      <c r="M21" s="6" t="s">
        <v>13</v>
      </c>
      <c r="N21" s="5" t="s">
        <v>14</v>
      </c>
      <c r="O21" s="8">
        <v>0.81100000000000005</v>
      </c>
      <c r="P21" s="9">
        <f t="shared" si="0"/>
        <v>0.72481572481572487</v>
      </c>
      <c r="Q21" s="9">
        <f t="shared" si="1"/>
        <v>0.61363636363636365</v>
      </c>
      <c r="S21" s="28">
        <f t="shared" si="15"/>
        <v>16.849480887792847</v>
      </c>
      <c r="T21" s="28">
        <f t="shared" si="16"/>
        <v>46.321793220338989</v>
      </c>
      <c r="U21" s="28">
        <f t="shared" si="17"/>
        <v>101.22169629629629</v>
      </c>
      <c r="W21" s="28">
        <f t="shared" si="9"/>
        <v>1.2330456226880393</v>
      </c>
      <c r="X21" s="28">
        <f t="shared" ref="X21:X25" si="18">T21/13.664929</f>
        <v>3.3898305084745766</v>
      </c>
      <c r="Y21" s="28">
        <f t="shared" ref="Y21:Y25" si="19">U21/13.664929</f>
        <v>7.4074074074074066</v>
      </c>
      <c r="Z21" s="28"/>
      <c r="AA21" s="28">
        <f t="shared" si="10"/>
        <v>23.304562268803931</v>
      </c>
      <c r="AB21" s="28">
        <f t="shared" ref="AB21:AB24" si="20">100*(X21-1)</f>
        <v>238.98305084745766</v>
      </c>
      <c r="AC21" s="28">
        <f t="shared" ref="AC21:AC24" si="21">100*(Y21-1)</f>
        <v>640.74074074074065</v>
      </c>
      <c r="AE21" s="29">
        <f t="shared" si="11"/>
        <v>1.2330456226880393</v>
      </c>
      <c r="AF21" s="29">
        <f t="shared" si="12"/>
        <v>1.3796610169505321</v>
      </c>
      <c r="AG21" s="29">
        <f t="shared" si="13"/>
        <v>1.6296296297925923</v>
      </c>
      <c r="AI21" s="28">
        <f>100*(AE21-1)</f>
        <v>23.304562268803931</v>
      </c>
      <c r="AJ21" s="28">
        <f t="shared" ref="AJ21:AK25" si="22">100*(AF21-1)</f>
        <v>37.966101695053212</v>
      </c>
      <c r="AK21" s="28">
        <f t="shared" si="22"/>
        <v>62.962962979259231</v>
      </c>
    </row>
    <row r="22" spans="1:37" ht="15">
      <c r="A22" s="6" t="s">
        <v>46</v>
      </c>
      <c r="B22" s="5" t="s">
        <v>36</v>
      </c>
      <c r="C22" s="8">
        <v>0.78700000000000003</v>
      </c>
      <c r="D22" s="8">
        <v>0.17899999999999999</v>
      </c>
      <c r="E22" s="8">
        <v>0.111</v>
      </c>
      <c r="G22" s="20" t="s">
        <v>46</v>
      </c>
      <c r="H22" s="5" t="s">
        <v>36</v>
      </c>
      <c r="I22" s="8">
        <v>0.78700000000000003</v>
      </c>
      <c r="J22" s="9">
        <v>0.26200000000000001</v>
      </c>
      <c r="K22" s="22">
        <v>0.13300000000000001</v>
      </c>
      <c r="L22" s="9"/>
      <c r="M22" s="6" t="s">
        <v>46</v>
      </c>
      <c r="N22" s="5" t="s">
        <v>36</v>
      </c>
      <c r="O22" s="8">
        <v>0.78700000000000003</v>
      </c>
      <c r="P22" s="9">
        <f t="shared" si="0"/>
        <v>0.64373464373464384</v>
      </c>
      <c r="Q22" s="9">
        <f t="shared" si="1"/>
        <v>0.60454545454545461</v>
      </c>
      <c r="S22" s="28">
        <f t="shared" si="15"/>
        <v>17.363315120711565</v>
      </c>
      <c r="T22" s="28">
        <f t="shared" si="16"/>
        <v>52.156217557251907</v>
      </c>
      <c r="U22" s="28">
        <f t="shared" si="17"/>
        <v>102.74382706766917</v>
      </c>
      <c r="W22" s="28">
        <f t="shared" si="9"/>
        <v>1.2706480304955527</v>
      </c>
      <c r="X22" s="28">
        <f t="shared" si="18"/>
        <v>3.8167938931297707</v>
      </c>
      <c r="Y22" s="28">
        <f t="shared" si="19"/>
        <v>7.5187969924812021</v>
      </c>
      <c r="Z22" s="28"/>
      <c r="AA22" s="28">
        <f t="shared" si="10"/>
        <v>27.064803049555273</v>
      </c>
      <c r="AB22" s="28">
        <f t="shared" si="20"/>
        <v>281.67938931297709</v>
      </c>
      <c r="AC22" s="28">
        <f t="shared" si="21"/>
        <v>651.87969924812023</v>
      </c>
      <c r="AE22" s="29">
        <f t="shared" si="11"/>
        <v>1.2706480304955527</v>
      </c>
      <c r="AF22" s="29">
        <f t="shared" si="12"/>
        <v>1.55343511450537</v>
      </c>
      <c r="AG22" s="29">
        <f t="shared" si="13"/>
        <v>1.654135338511278</v>
      </c>
      <c r="AI22" s="28">
        <f t="shared" si="14"/>
        <v>27.064803049555273</v>
      </c>
      <c r="AJ22" s="28">
        <f t="shared" si="22"/>
        <v>55.343511450536994</v>
      </c>
      <c r="AK22" s="28">
        <f t="shared" si="22"/>
        <v>65.413533851127809</v>
      </c>
    </row>
    <row r="23" spans="1:37" ht="15">
      <c r="A23" s="6" t="s">
        <v>47</v>
      </c>
      <c r="B23" s="5" t="s">
        <v>33</v>
      </c>
      <c r="C23" s="8">
        <v>0.77800000000000002</v>
      </c>
      <c r="D23" s="8">
        <v>0.251</v>
      </c>
      <c r="E23" s="8">
        <v>0.129</v>
      </c>
      <c r="G23" s="20" t="s">
        <v>47</v>
      </c>
      <c r="H23" s="5" t="s">
        <v>33</v>
      </c>
      <c r="I23" s="8">
        <v>0.77800000000000002</v>
      </c>
      <c r="J23" s="8">
        <v>0.251</v>
      </c>
      <c r="K23" s="21">
        <v>0.129</v>
      </c>
      <c r="L23" s="8"/>
      <c r="M23" s="6" t="s">
        <v>47</v>
      </c>
      <c r="N23" s="5" t="s">
        <v>33</v>
      </c>
      <c r="O23" s="8">
        <v>0.77800000000000002</v>
      </c>
      <c r="P23" s="8">
        <f t="shared" si="0"/>
        <v>0.61670761670761676</v>
      </c>
      <c r="Q23" s="8">
        <f t="shared" si="1"/>
        <v>0.58636363636363642</v>
      </c>
      <c r="S23" s="28">
        <f t="shared" si="15"/>
        <v>17.56417609254499</v>
      </c>
      <c r="T23" s="28">
        <f t="shared" si="16"/>
        <v>54.441948207171315</v>
      </c>
      <c r="U23" s="28">
        <f t="shared" si="17"/>
        <v>105.92968217054263</v>
      </c>
      <c r="W23" s="28">
        <f t="shared" si="9"/>
        <v>1.2853470437017995</v>
      </c>
      <c r="X23" s="28">
        <f t="shared" si="18"/>
        <v>3.9840637450199199</v>
      </c>
      <c r="Y23" s="28">
        <f t="shared" si="19"/>
        <v>7.7519379844961236</v>
      </c>
      <c r="Z23" s="28"/>
      <c r="AA23" s="28">
        <f t="shared" si="10"/>
        <v>28.534704370179952</v>
      </c>
      <c r="AB23" s="28">
        <f t="shared" si="20"/>
        <v>298.40637450199199</v>
      </c>
      <c r="AC23" s="28">
        <f t="shared" si="21"/>
        <v>675.19379844961236</v>
      </c>
      <c r="AE23" s="29">
        <f t="shared" si="11"/>
        <v>1.2853470437017995</v>
      </c>
      <c r="AF23" s="29">
        <f t="shared" si="12"/>
        <v>1.6215139442247288</v>
      </c>
      <c r="AG23" s="29">
        <f t="shared" si="13"/>
        <v>1.7054263567596897</v>
      </c>
      <c r="AI23" s="28">
        <f t="shared" si="14"/>
        <v>28.534704370179952</v>
      </c>
      <c r="AJ23" s="28">
        <f t="shared" si="22"/>
        <v>62.151394422472883</v>
      </c>
      <c r="AK23" s="28">
        <f t="shared" si="22"/>
        <v>70.542635675968967</v>
      </c>
    </row>
    <row r="24" spans="1:37" ht="15">
      <c r="A24" s="6" t="s">
        <v>48</v>
      </c>
      <c r="B24" s="5" t="s">
        <v>35</v>
      </c>
      <c r="C24" s="8">
        <v>0.76400000000000001</v>
      </c>
      <c r="D24" s="8">
        <v>0.246</v>
      </c>
      <c r="E24" s="8">
        <v>0.13300000000000001</v>
      </c>
      <c r="G24" s="20" t="s">
        <v>48</v>
      </c>
      <c r="H24" s="5" t="s">
        <v>35</v>
      </c>
      <c r="I24" s="8">
        <v>0.76400000000000001</v>
      </c>
      <c r="J24" s="8">
        <v>0.246</v>
      </c>
      <c r="K24" s="22">
        <v>0.128</v>
      </c>
      <c r="L24" s="9"/>
      <c r="M24" s="6" t="s">
        <v>48</v>
      </c>
      <c r="N24" s="5" t="s">
        <v>35</v>
      </c>
      <c r="O24" s="8">
        <v>0.76400000000000001</v>
      </c>
      <c r="P24" s="8">
        <f t="shared" si="0"/>
        <v>0.60442260442260443</v>
      </c>
      <c r="Q24" s="9">
        <f t="shared" si="1"/>
        <v>0.58181818181818179</v>
      </c>
      <c r="S24" s="28">
        <f t="shared" si="15"/>
        <v>17.88603272251309</v>
      </c>
      <c r="T24" s="28">
        <f t="shared" si="16"/>
        <v>55.548491869918706</v>
      </c>
      <c r="U24" s="28">
        <f t="shared" si="17"/>
        <v>106.7572578125</v>
      </c>
      <c r="W24" s="28">
        <f t="shared" si="9"/>
        <v>1.3089005235602094</v>
      </c>
      <c r="X24" s="28">
        <f t="shared" si="18"/>
        <v>4.0650406504065044</v>
      </c>
      <c r="Y24" s="28">
        <f t="shared" si="19"/>
        <v>7.8125</v>
      </c>
      <c r="Z24" s="28"/>
      <c r="AA24" s="28">
        <f t="shared" si="10"/>
        <v>30.890052356020938</v>
      </c>
      <c r="AB24" s="28">
        <f t="shared" si="20"/>
        <v>306.50406504065046</v>
      </c>
      <c r="AC24" s="28">
        <f t="shared" si="21"/>
        <v>681.25</v>
      </c>
      <c r="AE24" s="29">
        <f t="shared" si="11"/>
        <v>1.3089005235602094</v>
      </c>
      <c r="AF24" s="29">
        <f t="shared" si="12"/>
        <v>1.6544715447171017</v>
      </c>
      <c r="AG24" s="29">
        <f t="shared" si="13"/>
        <v>1.718750000171875</v>
      </c>
      <c r="AI24" s="28">
        <f t="shared" si="14"/>
        <v>30.890052356020938</v>
      </c>
      <c r="AJ24" s="28">
        <f t="shared" si="22"/>
        <v>65.447154471710164</v>
      </c>
      <c r="AK24" s="28">
        <f t="shared" si="22"/>
        <v>71.875000017187489</v>
      </c>
    </row>
    <row r="25" spans="1:37" ht="16" thickBot="1">
      <c r="A25" s="6" t="s">
        <v>7</v>
      </c>
      <c r="B25" s="5" t="s">
        <v>8</v>
      </c>
      <c r="C25" s="8">
        <v>0.746</v>
      </c>
      <c r="D25" s="8">
        <v>0.27900000000000003</v>
      </c>
      <c r="E25" s="8">
        <v>0.126</v>
      </c>
      <c r="G25" s="23" t="s">
        <v>7</v>
      </c>
      <c r="H25" s="24" t="s">
        <v>8</v>
      </c>
      <c r="I25" s="25">
        <v>0.746</v>
      </c>
      <c r="J25" s="26">
        <v>0.23899999999999999</v>
      </c>
      <c r="K25" s="27">
        <v>0.126</v>
      </c>
      <c r="L25" s="8"/>
      <c r="M25" s="6" t="s">
        <v>7</v>
      </c>
      <c r="N25" s="5" t="s">
        <v>8</v>
      </c>
      <c r="O25" s="8">
        <v>0.746</v>
      </c>
      <c r="P25" s="9">
        <f t="shared" si="0"/>
        <v>0.58722358722358725</v>
      </c>
      <c r="Q25" s="8">
        <f t="shared" si="1"/>
        <v>0.57272727272727275</v>
      </c>
      <c r="S25" s="28">
        <f t="shared" si="15"/>
        <v>18.317599195710457</v>
      </c>
      <c r="T25" s="28">
        <f t="shared" si="16"/>
        <v>57.175435146443519</v>
      </c>
      <c r="U25" s="28">
        <f t="shared" si="17"/>
        <v>108.45181746031747</v>
      </c>
      <c r="W25" s="28">
        <f t="shared" si="9"/>
        <v>1.3404825737265416</v>
      </c>
      <c r="X25" s="28">
        <f t="shared" si="18"/>
        <v>4.1841004184100417</v>
      </c>
      <c r="Y25" s="28">
        <f t="shared" si="19"/>
        <v>7.9365079365079367</v>
      </c>
      <c r="Z25" s="28"/>
      <c r="AA25" s="28">
        <f t="shared" ref="AA25" si="23">100*(W25-1)</f>
        <v>34.048257372654156</v>
      </c>
      <c r="AB25" s="28">
        <f t="shared" ref="AB25" si="24">100*(X25-1)</f>
        <v>318.41004184100416</v>
      </c>
      <c r="AC25" s="28">
        <f t="shared" ref="AC25" si="25">100*(Y25-1)</f>
        <v>693.65079365079373</v>
      </c>
      <c r="AE25" s="29">
        <f t="shared" si="11"/>
        <v>1.3404825737265416</v>
      </c>
      <c r="AF25" s="29">
        <f t="shared" si="12"/>
        <v>1.7029288702945897</v>
      </c>
      <c r="AG25" s="29">
        <f t="shared" si="13"/>
        <v>1.7460317462063493</v>
      </c>
      <c r="AI25" s="28">
        <f t="shared" si="14"/>
        <v>34.048257372654156</v>
      </c>
      <c r="AJ25" s="28">
        <f t="shared" si="22"/>
        <v>70.292887029458967</v>
      </c>
      <c r="AK25" s="28">
        <f t="shared" si="22"/>
        <v>74.603174620634931</v>
      </c>
    </row>
    <row r="29" spans="1:37" ht="15.75" customHeight="1">
      <c r="A29" s="6"/>
      <c r="B29" s="5"/>
      <c r="C29" s="7"/>
      <c r="D29" s="7"/>
      <c r="E29" s="7"/>
      <c r="G29" s="5"/>
      <c r="H29" s="5"/>
      <c r="I29" s="5"/>
      <c r="J29" s="5"/>
      <c r="K29" s="5"/>
      <c r="L29" s="5"/>
      <c r="M29" s="5"/>
    </row>
    <row r="30" spans="1:37" ht="15.75" customHeight="1">
      <c r="A30" s="6"/>
      <c r="B30" s="5"/>
      <c r="C30" s="7"/>
      <c r="D30" s="7"/>
      <c r="E30" s="7"/>
      <c r="G30" s="6"/>
      <c r="H30" s="5"/>
      <c r="I30" s="7"/>
      <c r="J30" s="7"/>
      <c r="K30" s="7"/>
      <c r="L30" s="7"/>
      <c r="M30" s="7"/>
    </row>
    <row r="31" spans="1:37" ht="15.75" customHeight="1">
      <c r="A31" s="6"/>
      <c r="B31" s="5"/>
      <c r="C31" s="7"/>
      <c r="D31" s="7"/>
      <c r="E31" s="7"/>
      <c r="G31" s="10"/>
      <c r="H31" s="11"/>
      <c r="I31" s="11"/>
    </row>
    <row r="32" spans="1:37" ht="15.75" customHeight="1">
      <c r="A32" s="6"/>
      <c r="B32" s="5"/>
      <c r="C32" s="7"/>
      <c r="D32" s="7"/>
      <c r="E32" s="7"/>
      <c r="G32" s="10"/>
      <c r="H32" s="11"/>
      <c r="I32" s="11"/>
    </row>
    <row r="33" spans="1:9" ht="15.75" customHeight="1">
      <c r="A33" s="6"/>
      <c r="B33" s="5"/>
      <c r="C33" s="7"/>
      <c r="D33" s="7"/>
      <c r="E33" s="7"/>
      <c r="G33" s="10"/>
      <c r="H33" s="11"/>
      <c r="I33" s="11"/>
    </row>
    <row r="34" spans="1:9" ht="15.75" customHeight="1">
      <c r="A34" s="6"/>
      <c r="B34" s="5"/>
      <c r="C34" s="7"/>
      <c r="D34" s="7"/>
      <c r="E34" s="7"/>
      <c r="G34" s="10"/>
      <c r="H34" s="11"/>
      <c r="I34" s="11"/>
    </row>
    <row r="35" spans="1:9" ht="15.75" customHeight="1">
      <c r="A35" s="6"/>
      <c r="B35" s="5"/>
      <c r="C35" s="7"/>
      <c r="D35" s="7"/>
      <c r="E35" s="7"/>
      <c r="G35" s="10"/>
      <c r="H35" s="12"/>
      <c r="I35" s="11"/>
    </row>
    <row r="36" spans="1:9" ht="15.75" customHeight="1">
      <c r="A36" s="6"/>
      <c r="B36" s="5"/>
      <c r="C36" s="7"/>
      <c r="D36" s="7"/>
      <c r="E36" s="7"/>
      <c r="G36" s="10"/>
      <c r="H36" s="11"/>
      <c r="I36" s="11"/>
    </row>
    <row r="37" spans="1:9" ht="15.75" customHeight="1">
      <c r="A37" s="6"/>
      <c r="B37" s="5"/>
      <c r="C37" s="7"/>
      <c r="D37" s="7"/>
      <c r="E37" s="7"/>
      <c r="G37" s="10"/>
      <c r="H37" s="11"/>
      <c r="I37" s="11"/>
    </row>
    <row r="38" spans="1:9" ht="15.75" customHeight="1">
      <c r="A38" s="6"/>
      <c r="B38" s="5"/>
      <c r="C38" s="7"/>
      <c r="D38" s="7"/>
      <c r="E38" s="7"/>
      <c r="G38" s="10"/>
      <c r="H38" s="11"/>
      <c r="I38" s="11"/>
    </row>
    <row r="39" spans="1:9" ht="15.75" customHeight="1">
      <c r="A39" s="6"/>
      <c r="B39" s="5"/>
      <c r="C39" s="7"/>
      <c r="D39" s="7"/>
      <c r="E39" s="7"/>
      <c r="G39" s="10"/>
      <c r="H39" s="11"/>
      <c r="I39" s="11"/>
    </row>
    <row r="40" spans="1:9" ht="15.75" customHeight="1">
      <c r="A40" s="6"/>
      <c r="B40" s="5"/>
      <c r="C40" s="7"/>
      <c r="D40" s="7"/>
      <c r="E40" s="7"/>
      <c r="G40" s="10"/>
      <c r="H40" s="11"/>
      <c r="I40" s="11"/>
    </row>
    <row r="41" spans="1:9" ht="15.75" customHeight="1">
      <c r="A41" s="6"/>
      <c r="B41" s="5"/>
      <c r="C41" s="7"/>
      <c r="D41" s="7"/>
      <c r="E41" s="7"/>
      <c r="G41" s="10"/>
      <c r="H41" s="11"/>
      <c r="I41" s="11"/>
    </row>
    <row r="42" spans="1:9" ht="15.75" customHeight="1">
      <c r="A42" s="6"/>
      <c r="B42" s="5"/>
      <c r="C42" s="7"/>
      <c r="D42" s="7"/>
      <c r="E42" s="7"/>
      <c r="G42" s="10"/>
      <c r="H42" s="11"/>
      <c r="I42" s="11"/>
    </row>
    <row r="43" spans="1:9" ht="15.75" customHeight="1">
      <c r="A43" s="6"/>
      <c r="B43" s="5"/>
      <c r="C43" s="7"/>
      <c r="D43" s="7"/>
      <c r="E43" s="7"/>
      <c r="G43" s="10"/>
      <c r="H43" s="11"/>
      <c r="I43" s="11"/>
    </row>
    <row r="44" spans="1:9" ht="15.75" customHeight="1">
      <c r="A44" s="6"/>
      <c r="B44" s="5"/>
      <c r="C44" s="7"/>
      <c r="D44" s="7"/>
      <c r="E44" s="7"/>
      <c r="G44" s="10"/>
      <c r="H44" s="11"/>
      <c r="I44" s="11"/>
    </row>
    <row r="45" spans="1:9" ht="15.75" customHeight="1">
      <c r="A45" s="6"/>
      <c r="B45" s="5"/>
      <c r="C45" s="7"/>
      <c r="D45" s="7"/>
      <c r="E45" s="7"/>
      <c r="G45" s="10"/>
      <c r="H45" s="11"/>
      <c r="I45" s="11"/>
    </row>
    <row r="46" spans="1:9" ht="15.75" customHeight="1">
      <c r="A46" s="6"/>
      <c r="B46" s="5"/>
      <c r="C46" s="7"/>
      <c r="D46" s="7"/>
      <c r="E46" s="7"/>
      <c r="G46" s="10"/>
      <c r="H46" s="11"/>
      <c r="I46" s="11"/>
    </row>
    <row r="47" spans="1:9" ht="15.75" customHeight="1">
      <c r="A47" s="6"/>
      <c r="B47" s="5"/>
      <c r="C47" s="7"/>
      <c r="D47" s="7"/>
      <c r="E47" s="7"/>
      <c r="G47" s="10"/>
      <c r="H47" s="11"/>
      <c r="I47" s="11"/>
    </row>
    <row r="48" spans="1:9" ht="15.75" customHeight="1">
      <c r="A48" s="6"/>
      <c r="B48" s="5"/>
      <c r="C48" s="7"/>
      <c r="D48" s="7"/>
      <c r="E48" s="7"/>
      <c r="G48" s="10"/>
      <c r="H48" s="11"/>
      <c r="I48" s="11"/>
    </row>
    <row r="49" spans="1:9" ht="15.75" customHeight="1">
      <c r="A49" s="6"/>
      <c r="B49" s="5"/>
      <c r="C49" s="7"/>
      <c r="D49" s="7"/>
      <c r="E49" s="7"/>
      <c r="G49" s="10"/>
      <c r="H49" s="11"/>
      <c r="I49" s="11"/>
    </row>
    <row r="50" spans="1:9" ht="15.75" customHeight="1">
      <c r="A50" s="6"/>
      <c r="B50" s="5"/>
      <c r="C50" s="7"/>
      <c r="D50" s="7"/>
      <c r="E50" s="7"/>
      <c r="G50" s="10"/>
      <c r="H50" s="11"/>
      <c r="I50" s="11"/>
    </row>
  </sheetData>
  <sortState xmlns:xlrd2="http://schemas.microsoft.com/office/spreadsheetml/2017/richdata2" ref="A5:E25">
    <sortCondition descending="1" ref="C5:C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2BEF-C715-C34B-90A6-1B66AEEF29D0}">
  <dimension ref="A1:AW50"/>
  <sheetViews>
    <sheetView tabSelected="1" topLeftCell="R1" zoomScale="130" zoomScaleNormal="130" workbookViewId="0">
      <selection activeCell="R21" sqref="A21:XFD21"/>
    </sheetView>
  </sheetViews>
  <sheetFormatPr baseColWidth="10" defaultColWidth="12.6640625" defaultRowHeight="14"/>
  <cols>
    <col min="1" max="1" width="15.1640625" style="1" bestFit="1" customWidth="1"/>
    <col min="2" max="2" width="5" style="1" bestFit="1" customWidth="1"/>
    <col min="3" max="5" width="6.1640625" style="1" bestFit="1" customWidth="1"/>
    <col min="6" max="6" width="5.5" style="1" customWidth="1"/>
    <col min="7" max="7" width="15.1640625" style="1" bestFit="1" customWidth="1"/>
    <col min="8" max="8" width="5" style="1" bestFit="1" customWidth="1"/>
    <col min="9" max="10" width="5.6640625" style="1" bestFit="1" customWidth="1"/>
    <col min="11" max="11" width="5.6640625" style="2" bestFit="1" customWidth="1"/>
    <col min="12" max="12" width="6.33203125" style="2" customWidth="1"/>
    <col min="13" max="13" width="27.1640625" style="2" bestFit="1" customWidth="1"/>
    <col min="14" max="14" width="5" style="1" bestFit="1" customWidth="1"/>
    <col min="15" max="17" width="5.6640625" style="1" bestFit="1" customWidth="1"/>
    <col min="18" max="19" width="5.6640625" style="1" customWidth="1"/>
    <col min="20" max="21" width="3.33203125" style="1" bestFit="1" customWidth="1"/>
    <col min="22" max="22" width="4.33203125" style="1" bestFit="1" customWidth="1"/>
    <col min="23" max="24" width="6.6640625" style="1" bestFit="1" customWidth="1"/>
    <col min="25" max="25" width="7.6640625" style="1" bestFit="1" customWidth="1"/>
    <col min="26" max="26" width="5.6640625" style="1" bestFit="1" customWidth="1"/>
    <col min="27" max="27" width="4.6640625" style="1" bestFit="1" customWidth="1"/>
    <col min="28" max="29" width="5.6640625" style="1" bestFit="1" customWidth="1"/>
    <col min="30" max="31" width="6.6640625" style="1" bestFit="1" customWidth="1"/>
    <col min="32" max="32" width="7.1640625" style="1" customWidth="1"/>
    <col min="33" max="43" width="5.6640625" style="1" bestFit="1" customWidth="1"/>
    <col min="44" max="44" width="6.5" style="1" customWidth="1"/>
    <col min="45" max="45" width="5.6640625" style="1" bestFit="1" customWidth="1"/>
    <col min="46" max="46" width="7.6640625" style="1" bestFit="1" customWidth="1"/>
    <col min="47" max="49" width="5.6640625" style="1" bestFit="1" customWidth="1"/>
    <col min="50" max="16384" width="12.6640625" style="1"/>
  </cols>
  <sheetData>
    <row r="1" spans="1:49" ht="15.75" customHeight="1" thickBot="1"/>
    <row r="2" spans="1:49" ht="15.75" customHeight="1" thickBot="1">
      <c r="A2" s="3" t="s">
        <v>40</v>
      </c>
      <c r="G2" s="13" t="s">
        <v>41</v>
      </c>
      <c r="H2" s="14"/>
      <c r="I2" s="14"/>
      <c r="J2" s="14"/>
      <c r="K2" s="15"/>
      <c r="M2" s="4" t="s">
        <v>42</v>
      </c>
      <c r="S2" s="46" t="s">
        <v>59</v>
      </c>
      <c r="T2" s="47"/>
      <c r="U2" s="47"/>
      <c r="V2" s="47"/>
      <c r="W2" s="46" t="s">
        <v>57</v>
      </c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8"/>
      <c r="AL2" s="46" t="s">
        <v>58</v>
      </c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8"/>
    </row>
    <row r="3" spans="1:49" ht="15.75" customHeight="1" thickBot="1">
      <c r="A3" s="3"/>
      <c r="G3" s="16"/>
      <c r="K3" s="17"/>
      <c r="O3" s="4"/>
      <c r="S3" s="30"/>
      <c r="T3" s="14"/>
      <c r="U3" s="14"/>
      <c r="V3" s="14"/>
      <c r="W3" s="46" t="s">
        <v>60</v>
      </c>
      <c r="X3" s="47"/>
      <c r="Y3" s="48"/>
      <c r="Z3" s="47" t="s">
        <v>53</v>
      </c>
      <c r="AA3" s="47"/>
      <c r="AB3" s="47"/>
      <c r="AC3" s="46" t="s">
        <v>54</v>
      </c>
      <c r="AD3" s="47"/>
      <c r="AE3" s="48"/>
      <c r="AF3" s="46" t="s">
        <v>55</v>
      </c>
      <c r="AG3" s="47"/>
      <c r="AH3" s="48"/>
      <c r="AI3" s="47" t="s">
        <v>56</v>
      </c>
      <c r="AJ3" s="47"/>
      <c r="AK3" s="48"/>
      <c r="AL3" s="64" t="s">
        <v>53</v>
      </c>
      <c r="AM3" s="65"/>
      <c r="AN3" s="65"/>
      <c r="AO3" s="64" t="s">
        <v>54</v>
      </c>
      <c r="AP3" s="65"/>
      <c r="AQ3" s="66"/>
      <c r="AR3" s="65" t="s">
        <v>55</v>
      </c>
      <c r="AS3" s="65"/>
      <c r="AT3" s="66"/>
      <c r="AU3" s="46" t="s">
        <v>56</v>
      </c>
      <c r="AV3" s="47"/>
      <c r="AW3" s="48"/>
    </row>
    <row r="4" spans="1:49" ht="15">
      <c r="A4" s="5"/>
      <c r="B4" s="5" t="s">
        <v>39</v>
      </c>
      <c r="C4" s="5" t="s">
        <v>0</v>
      </c>
      <c r="D4" s="5" t="s">
        <v>1</v>
      </c>
      <c r="E4" s="5" t="s">
        <v>2</v>
      </c>
      <c r="G4" s="18"/>
      <c r="H4" s="5" t="s">
        <v>39</v>
      </c>
      <c r="I4" s="5" t="s">
        <v>0</v>
      </c>
      <c r="J4" s="5" t="s">
        <v>1</v>
      </c>
      <c r="K4" s="19" t="s">
        <v>2</v>
      </c>
      <c r="L4" s="5"/>
      <c r="M4" s="5"/>
      <c r="N4" s="5" t="s">
        <v>39</v>
      </c>
      <c r="O4" s="5" t="s">
        <v>0</v>
      </c>
      <c r="P4" s="5" t="s">
        <v>1</v>
      </c>
      <c r="Q4" s="5" t="s">
        <v>2</v>
      </c>
      <c r="R4" s="5"/>
      <c r="S4" s="59" t="s">
        <v>49</v>
      </c>
      <c r="T4" s="60" t="s">
        <v>50</v>
      </c>
      <c r="U4" s="61" t="s">
        <v>51</v>
      </c>
      <c r="V4" s="56" t="s">
        <v>52</v>
      </c>
      <c r="W4" s="43" t="s">
        <v>0</v>
      </c>
      <c r="X4" s="33" t="s">
        <v>1</v>
      </c>
      <c r="Y4" s="34" t="s">
        <v>2</v>
      </c>
      <c r="Z4" s="33" t="s">
        <v>0</v>
      </c>
      <c r="AA4" s="33" t="s">
        <v>1</v>
      </c>
      <c r="AB4" s="33" t="s">
        <v>2</v>
      </c>
      <c r="AC4" s="43" t="s">
        <v>0</v>
      </c>
      <c r="AD4" s="33" t="s">
        <v>1</v>
      </c>
      <c r="AE4" s="34" t="s">
        <v>2</v>
      </c>
      <c r="AF4" s="43" t="s">
        <v>0</v>
      </c>
      <c r="AG4" s="33" t="s">
        <v>1</v>
      </c>
      <c r="AH4" s="34" t="s">
        <v>2</v>
      </c>
      <c r="AI4" s="33" t="s">
        <v>0</v>
      </c>
      <c r="AJ4" s="33" t="s">
        <v>1</v>
      </c>
      <c r="AK4" s="34" t="s">
        <v>2</v>
      </c>
      <c r="AL4" s="31" t="s">
        <v>0</v>
      </c>
      <c r="AM4" s="32" t="s">
        <v>1</v>
      </c>
      <c r="AN4" s="32" t="s">
        <v>2</v>
      </c>
      <c r="AO4" s="31" t="s">
        <v>0</v>
      </c>
      <c r="AP4" s="32" t="s">
        <v>1</v>
      </c>
      <c r="AQ4" s="49" t="s">
        <v>2</v>
      </c>
      <c r="AR4" s="32" t="s">
        <v>0</v>
      </c>
      <c r="AS4" s="32" t="s">
        <v>1</v>
      </c>
      <c r="AT4" s="49" t="s">
        <v>2</v>
      </c>
      <c r="AU4" s="31" t="s">
        <v>0</v>
      </c>
      <c r="AV4" s="32" t="s">
        <v>1</v>
      </c>
      <c r="AW4" s="49" t="s">
        <v>2</v>
      </c>
    </row>
    <row r="5" spans="1:49" ht="15">
      <c r="A5" s="6" t="s">
        <v>3</v>
      </c>
      <c r="B5" s="5" t="s">
        <v>4</v>
      </c>
      <c r="C5" s="8">
        <v>1</v>
      </c>
      <c r="D5" s="8">
        <v>0.40699999999999997</v>
      </c>
      <c r="E5" s="8">
        <v>0.22</v>
      </c>
      <c r="G5" s="20" t="s">
        <v>3</v>
      </c>
      <c r="H5" s="5" t="s">
        <v>4</v>
      </c>
      <c r="I5" s="8">
        <v>1</v>
      </c>
      <c r="J5" s="8">
        <v>0.40699999999999997</v>
      </c>
      <c r="K5" s="21">
        <v>0.22</v>
      </c>
      <c r="L5" s="8"/>
      <c r="M5" s="6" t="s">
        <v>3</v>
      </c>
      <c r="N5" s="5" t="s">
        <v>4</v>
      </c>
      <c r="O5" s="8">
        <v>1</v>
      </c>
      <c r="P5" s="8">
        <f t="shared" ref="P5:P25" si="0">J5/0.407</f>
        <v>1</v>
      </c>
      <c r="Q5" s="8">
        <f t="shared" ref="Q5:Q25" si="1">K5/0.22</f>
        <v>1</v>
      </c>
      <c r="R5" s="8"/>
      <c r="S5" s="35">
        <v>30</v>
      </c>
      <c r="T5" s="36">
        <v>0</v>
      </c>
      <c r="U5" s="62">
        <v>0</v>
      </c>
      <c r="V5" s="57" t="s">
        <v>4</v>
      </c>
      <c r="W5" s="44">
        <f>13.664929*(1/I5)</f>
        <v>13.664929000000001</v>
      </c>
      <c r="X5" s="37">
        <f>13.664929*(1/J5)</f>
        <v>33.574764127764134</v>
      </c>
      <c r="Y5" s="38">
        <f>13.664929*(1/K5)</f>
        <v>62.113313636363642</v>
      </c>
      <c r="Z5" s="37">
        <f>W5/13.664929</f>
        <v>1</v>
      </c>
      <c r="AA5" s="37">
        <f>X5/13.664929</f>
        <v>2.4570024570024573</v>
      </c>
      <c r="AB5" s="37">
        <f>Y5/13.664929</f>
        <v>4.5454545454545459</v>
      </c>
      <c r="AC5" s="44">
        <f>100*(Z5-1)</f>
        <v>0</v>
      </c>
      <c r="AD5" s="37">
        <f>100*(AA5-1)</f>
        <v>145.70024570024574</v>
      </c>
      <c r="AE5" s="38">
        <f>100*(AB5-1)</f>
        <v>354.54545454545456</v>
      </c>
      <c r="AF5" s="44">
        <f>Z5/1</f>
        <v>1</v>
      </c>
      <c r="AG5" s="37">
        <f>AA5/2.457002457</f>
        <v>1.0000000000010001</v>
      </c>
      <c r="AH5" s="38">
        <f>AB5/4.545454545</f>
        <v>1.0000000001</v>
      </c>
      <c r="AI5" s="37">
        <f>100*(AF5-1)</f>
        <v>0</v>
      </c>
      <c r="AJ5" s="37">
        <f t="shared" ref="AJ5:AK20" si="2">100*(AG5-1)</f>
        <v>1.000088900582341E-10</v>
      </c>
      <c r="AK5" s="38">
        <f t="shared" si="2"/>
        <v>1.000000082740371E-8</v>
      </c>
      <c r="AL5" s="50">
        <v>1</v>
      </c>
      <c r="AM5" s="51">
        <v>0.40699999999999997</v>
      </c>
      <c r="AN5" s="51">
        <v>0.22</v>
      </c>
      <c r="AO5" s="50">
        <f>100*(1-AL5)</f>
        <v>0</v>
      </c>
      <c r="AP5" s="51">
        <f t="shared" ref="AP5:AQ20" si="3">100*(1-AM5)</f>
        <v>59.3</v>
      </c>
      <c r="AQ5" s="54">
        <f t="shared" si="3"/>
        <v>78</v>
      </c>
      <c r="AR5" s="51">
        <v>1</v>
      </c>
      <c r="AS5" s="51">
        <f>AM5/0.407</f>
        <v>1</v>
      </c>
      <c r="AT5" s="54">
        <f>AN5/0.22</f>
        <v>1</v>
      </c>
      <c r="AU5" s="44">
        <f>100*(1-AR5)</f>
        <v>0</v>
      </c>
      <c r="AV5" s="37">
        <f t="shared" ref="AV5:AW20" si="4">100*(1-AS5)</f>
        <v>0</v>
      </c>
      <c r="AW5" s="38">
        <f t="shared" si="4"/>
        <v>0</v>
      </c>
    </row>
    <row r="6" spans="1:49" ht="15">
      <c r="A6" s="6" t="s">
        <v>21</v>
      </c>
      <c r="B6" s="5" t="s">
        <v>22</v>
      </c>
      <c r="C6" s="8">
        <v>0.97799999999999998</v>
      </c>
      <c r="D6" s="8">
        <v>0.4</v>
      </c>
      <c r="E6" s="8">
        <v>0.215</v>
      </c>
      <c r="G6" s="20" t="s">
        <v>21</v>
      </c>
      <c r="H6" s="5" t="s">
        <v>22</v>
      </c>
      <c r="I6" s="8">
        <v>0.97799999999999998</v>
      </c>
      <c r="J6" s="9">
        <v>0.39800000000000002</v>
      </c>
      <c r="K6" s="21">
        <v>0.215</v>
      </c>
      <c r="L6" s="8"/>
      <c r="M6" s="6" t="s">
        <v>21</v>
      </c>
      <c r="N6" s="5" t="s">
        <v>22</v>
      </c>
      <c r="O6" s="8">
        <v>0.97799999999999998</v>
      </c>
      <c r="P6" s="9">
        <f t="shared" si="0"/>
        <v>0.97788697788697798</v>
      </c>
      <c r="Q6" s="8">
        <f t="shared" si="1"/>
        <v>0.97727272727272729</v>
      </c>
      <c r="R6" s="8"/>
      <c r="S6" s="35">
        <v>25</v>
      </c>
      <c r="T6" s="36">
        <v>5</v>
      </c>
      <c r="U6" s="62">
        <v>0</v>
      </c>
      <c r="V6" s="57" t="s">
        <v>6</v>
      </c>
      <c r="W6" s="44">
        <f>13.664929*(1/I6)</f>
        <v>13.972320040899797</v>
      </c>
      <c r="X6" s="37">
        <f>13.664929*(1/J6)</f>
        <v>34.333992462311556</v>
      </c>
      <c r="Y6" s="38">
        <f>13.664929*(1/K6)</f>
        <v>63.557809302325587</v>
      </c>
      <c r="Z6" s="37">
        <f>W6/13.664929</f>
        <v>1.0224948875255624</v>
      </c>
      <c r="AA6" s="37">
        <f>X6/13.664929</f>
        <v>2.5125628140703515</v>
      </c>
      <c r="AB6" s="37">
        <f>Y6/13.664929</f>
        <v>4.6511627906976747</v>
      </c>
      <c r="AC6" s="44">
        <f>100*(Z6-1)</f>
        <v>2.249488752556239</v>
      </c>
      <c r="AD6" s="37">
        <f>100*(AA6-1)</f>
        <v>151.25628140703515</v>
      </c>
      <c r="AE6" s="38">
        <f>100*(AB6-1)</f>
        <v>365.11627906976747</v>
      </c>
      <c r="AF6" s="44">
        <f>Z6/1</f>
        <v>1.0224948875255624</v>
      </c>
      <c r="AG6" s="37">
        <f>AA6/2.457002457</f>
        <v>1.0226130653276555</v>
      </c>
      <c r="AH6" s="38">
        <f>AB6/4.545454545</f>
        <v>1.0232558140558139</v>
      </c>
      <c r="AI6" s="37">
        <f t="shared" ref="AI6:AI25" si="5">100*(AF6-1)</f>
        <v>2.249488752556239</v>
      </c>
      <c r="AJ6" s="37">
        <f t="shared" si="2"/>
        <v>2.2613065327655502</v>
      </c>
      <c r="AK6" s="38">
        <f t="shared" si="2"/>
        <v>2.3255814055813895</v>
      </c>
      <c r="AL6" s="50">
        <v>0.97799999999999998</v>
      </c>
      <c r="AM6" s="51">
        <v>0.39800000000000002</v>
      </c>
      <c r="AN6" s="51">
        <v>0.215</v>
      </c>
      <c r="AO6" s="50">
        <f t="shared" ref="AO6:AO25" si="6">100*(1-AL6)</f>
        <v>2.200000000000002</v>
      </c>
      <c r="AP6" s="51">
        <f t="shared" si="3"/>
        <v>60.199999999999996</v>
      </c>
      <c r="AQ6" s="54">
        <f t="shared" si="3"/>
        <v>78.5</v>
      </c>
      <c r="AR6" s="51">
        <v>0.97799999999999998</v>
      </c>
      <c r="AS6" s="51">
        <f>AM6/0.407</f>
        <v>0.97788697788697798</v>
      </c>
      <c r="AT6" s="54">
        <f t="shared" ref="AT6:AT25" si="7">AN6/0.22</f>
        <v>0.97727272727272729</v>
      </c>
      <c r="AU6" s="44">
        <f t="shared" ref="AU6:AU25" si="8">100*(1-AR6)</f>
        <v>2.200000000000002</v>
      </c>
      <c r="AV6" s="37">
        <f t="shared" si="4"/>
        <v>2.2113022113022018</v>
      </c>
      <c r="AW6" s="38">
        <f t="shared" si="4"/>
        <v>2.2727272727272707</v>
      </c>
    </row>
    <row r="7" spans="1:49" ht="15">
      <c r="A7" s="6" t="s">
        <v>23</v>
      </c>
      <c r="B7" s="5" t="s">
        <v>24</v>
      </c>
      <c r="C7" s="8">
        <v>0.96799999999999997</v>
      </c>
      <c r="D7" s="8">
        <v>0.38700000000000001</v>
      </c>
      <c r="E7" s="8">
        <v>0.20599999999999999</v>
      </c>
      <c r="G7" s="20" t="s">
        <v>23</v>
      </c>
      <c r="H7" s="5" t="s">
        <v>24</v>
      </c>
      <c r="I7" s="8">
        <v>0.96799999999999997</v>
      </c>
      <c r="J7" s="8">
        <v>0.38700000000000001</v>
      </c>
      <c r="K7" s="21">
        <v>0.20599999999999999</v>
      </c>
      <c r="L7" s="8"/>
      <c r="M7" s="6" t="s">
        <v>23</v>
      </c>
      <c r="N7" s="5" t="s">
        <v>24</v>
      </c>
      <c r="O7" s="8">
        <v>0.96799999999999997</v>
      </c>
      <c r="P7" s="8">
        <f t="shared" si="0"/>
        <v>0.9508599508599509</v>
      </c>
      <c r="Q7" s="8">
        <f t="shared" si="1"/>
        <v>0.93636363636363629</v>
      </c>
      <c r="R7" s="8"/>
      <c r="S7" s="35">
        <v>20</v>
      </c>
      <c r="T7" s="36">
        <v>10</v>
      </c>
      <c r="U7" s="62">
        <v>0</v>
      </c>
      <c r="V7" s="57" t="s">
        <v>8</v>
      </c>
      <c r="W7" s="44">
        <f>13.664929*(1/I7)</f>
        <v>14.116662190082646</v>
      </c>
      <c r="X7" s="37">
        <f>13.664929*(1/J7)</f>
        <v>35.309894056847547</v>
      </c>
      <c r="Y7" s="38">
        <f>13.664929*(1/K7)</f>
        <v>66.334606796116518</v>
      </c>
      <c r="Z7" s="37">
        <f>W7/13.664929</f>
        <v>1.0330578512396695</v>
      </c>
      <c r="AA7" s="37">
        <f>X7/13.664929</f>
        <v>2.5839793281653747</v>
      </c>
      <c r="AB7" s="37">
        <f>Y7/13.664929</f>
        <v>4.8543689320388355</v>
      </c>
      <c r="AC7" s="44">
        <f>100*(Z7-1)</f>
        <v>3.3057851239669533</v>
      </c>
      <c r="AD7" s="37">
        <f>100*(AA7-1)</f>
        <v>158.39793281653746</v>
      </c>
      <c r="AE7" s="38">
        <f>100*(AB7-1)</f>
        <v>385.43689320388353</v>
      </c>
      <c r="AF7" s="44">
        <f>Z7/1</f>
        <v>1.0330578512396695</v>
      </c>
      <c r="AG7" s="37">
        <f>AA7/2.457002457</f>
        <v>1.0516795865643591</v>
      </c>
      <c r="AH7" s="38">
        <f>AB7/4.545454545</f>
        <v>1.0679611651553398</v>
      </c>
      <c r="AI7" s="37">
        <f t="shared" si="5"/>
        <v>3.3057851239669533</v>
      </c>
      <c r="AJ7" s="37">
        <f t="shared" si="2"/>
        <v>5.1679586564359115</v>
      </c>
      <c r="AK7" s="38">
        <f t="shared" si="2"/>
        <v>6.7961165155339787</v>
      </c>
      <c r="AL7" s="50">
        <v>0.96799999999999997</v>
      </c>
      <c r="AM7" s="51">
        <v>0.38700000000000001</v>
      </c>
      <c r="AN7" s="51">
        <v>0.20599999999999999</v>
      </c>
      <c r="AO7" s="50">
        <f t="shared" si="6"/>
        <v>3.2000000000000028</v>
      </c>
      <c r="AP7" s="51">
        <f t="shared" si="3"/>
        <v>61.3</v>
      </c>
      <c r="AQ7" s="54">
        <f t="shared" si="3"/>
        <v>79.400000000000006</v>
      </c>
      <c r="AR7" s="51">
        <v>0.96799999999999997</v>
      </c>
      <c r="AS7" s="51">
        <f>AM7/0.407</f>
        <v>0.9508599508599509</v>
      </c>
      <c r="AT7" s="54">
        <f t="shared" si="7"/>
        <v>0.93636363636363629</v>
      </c>
      <c r="AU7" s="44">
        <f t="shared" si="8"/>
        <v>3.2000000000000028</v>
      </c>
      <c r="AV7" s="37">
        <f t="shared" si="4"/>
        <v>4.9140049140049102</v>
      </c>
      <c r="AW7" s="38">
        <f t="shared" si="4"/>
        <v>6.3636363636363713</v>
      </c>
    </row>
    <row r="8" spans="1:49" ht="15">
      <c r="A8" s="6" t="s">
        <v>9</v>
      </c>
      <c r="B8" s="5" t="s">
        <v>10</v>
      </c>
      <c r="C8" s="8">
        <v>0.96199999999999997</v>
      </c>
      <c r="D8" s="8">
        <v>0.377</v>
      </c>
      <c r="E8" s="8">
        <v>0.2</v>
      </c>
      <c r="G8" s="20" t="s">
        <v>9</v>
      </c>
      <c r="H8" s="5" t="s">
        <v>10</v>
      </c>
      <c r="I8" s="8">
        <v>0.96199999999999997</v>
      </c>
      <c r="J8" s="8">
        <v>0.377</v>
      </c>
      <c r="K8" s="22">
        <v>0.20300000000000001</v>
      </c>
      <c r="L8" s="9"/>
      <c r="M8" s="6" t="s">
        <v>9</v>
      </c>
      <c r="N8" s="5" t="s">
        <v>10</v>
      </c>
      <c r="O8" s="8">
        <v>0.96199999999999997</v>
      </c>
      <c r="P8" s="8">
        <f t="shared" si="0"/>
        <v>0.92628992628992635</v>
      </c>
      <c r="Q8" s="9">
        <f t="shared" si="1"/>
        <v>0.92272727272727284</v>
      </c>
      <c r="R8" s="9"/>
      <c r="S8" s="35">
        <v>15</v>
      </c>
      <c r="T8" s="36">
        <v>15</v>
      </c>
      <c r="U8" s="62">
        <v>0</v>
      </c>
      <c r="V8" s="57" t="s">
        <v>10</v>
      </c>
      <c r="W8" s="44">
        <f>13.664929*(1/I8)</f>
        <v>14.204707900207902</v>
      </c>
      <c r="X8" s="37">
        <f>13.664929*(1/J8)</f>
        <v>36.24649602122016</v>
      </c>
      <c r="Y8" s="38">
        <f>13.664929*(1/K8)</f>
        <v>67.314921182266005</v>
      </c>
      <c r="Z8" s="37">
        <f>W8/13.664929</f>
        <v>1.0395010395010396</v>
      </c>
      <c r="AA8" s="37">
        <f>X8/13.664929</f>
        <v>2.6525198938992043</v>
      </c>
      <c r="AB8" s="37">
        <f>Y8/13.664929</f>
        <v>4.9261083743842358</v>
      </c>
      <c r="AC8" s="44">
        <f>100*(Z8-1)</f>
        <v>3.9501039501039559</v>
      </c>
      <c r="AD8" s="37">
        <f>100*(AA8-1)</f>
        <v>165.25198938992042</v>
      </c>
      <c r="AE8" s="38">
        <f>100*(AB8-1)</f>
        <v>392.61083743842357</v>
      </c>
      <c r="AF8" s="44">
        <f>Z8/1</f>
        <v>1.0395010395010396</v>
      </c>
      <c r="AG8" s="37">
        <f>AA8/2.457002457</f>
        <v>1.0795755968180556</v>
      </c>
      <c r="AH8" s="38">
        <f>AB8/4.545454545</f>
        <v>1.0837438424729062</v>
      </c>
      <c r="AI8" s="37">
        <f t="shared" si="5"/>
        <v>3.9501039501039559</v>
      </c>
      <c r="AJ8" s="37">
        <f t="shared" si="2"/>
        <v>7.9575596818055594</v>
      </c>
      <c r="AK8" s="38">
        <f t="shared" si="2"/>
        <v>8.3743842472906227</v>
      </c>
      <c r="AL8" s="50">
        <v>0.96199999999999997</v>
      </c>
      <c r="AM8" s="51">
        <v>0.377</v>
      </c>
      <c r="AN8" s="51">
        <v>0.20300000000000001</v>
      </c>
      <c r="AO8" s="50">
        <f t="shared" si="6"/>
        <v>3.8000000000000034</v>
      </c>
      <c r="AP8" s="51">
        <f t="shared" si="3"/>
        <v>62.3</v>
      </c>
      <c r="AQ8" s="54">
        <f t="shared" si="3"/>
        <v>79.699999999999989</v>
      </c>
      <c r="AR8" s="51">
        <v>0.96199999999999997</v>
      </c>
      <c r="AS8" s="51">
        <f>AM8/0.407</f>
        <v>0.92628992628992635</v>
      </c>
      <c r="AT8" s="54">
        <f t="shared" si="7"/>
        <v>0.92272727272727284</v>
      </c>
      <c r="AU8" s="44">
        <f t="shared" si="8"/>
        <v>3.8000000000000034</v>
      </c>
      <c r="AV8" s="37">
        <f t="shared" si="4"/>
        <v>7.3710073710073658</v>
      </c>
      <c r="AW8" s="38">
        <f t="shared" si="4"/>
        <v>7.727272727272716</v>
      </c>
    </row>
    <row r="9" spans="1:49" ht="15">
      <c r="A9" s="6" t="s">
        <v>17</v>
      </c>
      <c r="B9" s="5" t="s">
        <v>18</v>
      </c>
      <c r="C9" s="8">
        <v>0.96199999999999997</v>
      </c>
      <c r="D9" s="8">
        <v>0.39200000000000002</v>
      </c>
      <c r="E9" s="8">
        <v>0.20499999999999999</v>
      </c>
      <c r="G9" s="20" t="s">
        <v>17</v>
      </c>
      <c r="H9" s="5" t="s">
        <v>18</v>
      </c>
      <c r="I9" s="9">
        <v>0.96099999999999997</v>
      </c>
      <c r="J9" s="9">
        <v>0.375</v>
      </c>
      <c r="K9" s="22">
        <v>0.20200000000000001</v>
      </c>
      <c r="L9" s="9"/>
      <c r="M9" s="6" t="s">
        <v>17</v>
      </c>
      <c r="N9" s="5" t="s">
        <v>18</v>
      </c>
      <c r="O9" s="9">
        <v>0.96099999999999997</v>
      </c>
      <c r="P9" s="9">
        <f t="shared" si="0"/>
        <v>0.92137592137592139</v>
      </c>
      <c r="Q9" s="9">
        <f t="shared" si="1"/>
        <v>0.91818181818181821</v>
      </c>
      <c r="R9" s="9"/>
      <c r="S9" s="35">
        <v>25</v>
      </c>
      <c r="T9" s="36">
        <v>0</v>
      </c>
      <c r="U9" s="62">
        <v>5</v>
      </c>
      <c r="V9" s="57" t="s">
        <v>12</v>
      </c>
      <c r="W9" s="44">
        <f>13.664929*(1/I9)</f>
        <v>14.219489073881375</v>
      </c>
      <c r="X9" s="37">
        <f>13.664929*(1/J9)</f>
        <v>36.439810666666666</v>
      </c>
      <c r="Y9" s="38">
        <f>13.664929*(1/K9)</f>
        <v>67.648163366336632</v>
      </c>
      <c r="Z9" s="37">
        <f>W9/13.664929</f>
        <v>1.0405827263267431</v>
      </c>
      <c r="AA9" s="37">
        <f>X9/13.664929</f>
        <v>2.6666666666666665</v>
      </c>
      <c r="AB9" s="37">
        <f>Y9/13.664929</f>
        <v>4.9504950495049505</v>
      </c>
      <c r="AC9" s="44">
        <f>100*(Z9-1)</f>
        <v>4.058272632674309</v>
      </c>
      <c r="AD9" s="37">
        <f>100*(AA9-1)</f>
        <v>166.66666666666666</v>
      </c>
      <c r="AE9" s="38">
        <f>100*(AB9-1)</f>
        <v>395.04950495049502</v>
      </c>
      <c r="AF9" s="44">
        <f>Z9/1</f>
        <v>1.0405827263267431</v>
      </c>
      <c r="AG9" s="37">
        <f>AA9/2.457002457</f>
        <v>1.0853333333344186</v>
      </c>
      <c r="AH9" s="38">
        <f>AB9/4.545454545</f>
        <v>1.0891089110000001</v>
      </c>
      <c r="AI9" s="37">
        <f t="shared" si="5"/>
        <v>4.058272632674309</v>
      </c>
      <c r="AJ9" s="37">
        <f t="shared" si="2"/>
        <v>8.5333333334418615</v>
      </c>
      <c r="AK9" s="38">
        <f t="shared" si="2"/>
        <v>8.9108911000000077</v>
      </c>
      <c r="AL9" s="50">
        <v>0.96099999999999997</v>
      </c>
      <c r="AM9" s="51">
        <v>0.375</v>
      </c>
      <c r="AN9" s="51">
        <v>0.20200000000000001</v>
      </c>
      <c r="AO9" s="50">
        <f t="shared" si="6"/>
        <v>3.9000000000000035</v>
      </c>
      <c r="AP9" s="51">
        <f t="shared" si="3"/>
        <v>62.5</v>
      </c>
      <c r="AQ9" s="54">
        <f t="shared" si="3"/>
        <v>79.800000000000011</v>
      </c>
      <c r="AR9" s="51">
        <v>0.96099999999999997</v>
      </c>
      <c r="AS9" s="51">
        <f>AM9/0.407</f>
        <v>0.92137592137592139</v>
      </c>
      <c r="AT9" s="54">
        <f t="shared" si="7"/>
        <v>0.91818181818181821</v>
      </c>
      <c r="AU9" s="44">
        <f t="shared" si="8"/>
        <v>3.9000000000000035</v>
      </c>
      <c r="AV9" s="37">
        <f t="shared" si="4"/>
        <v>7.8624078624078608</v>
      </c>
      <c r="AW9" s="38">
        <f t="shared" si="4"/>
        <v>8.1818181818181799</v>
      </c>
    </row>
    <row r="10" spans="1:49" ht="15">
      <c r="A10" s="6" t="s">
        <v>25</v>
      </c>
      <c r="B10" s="5" t="s">
        <v>26</v>
      </c>
      <c r="C10" s="8">
        <v>0.95799999999999996</v>
      </c>
      <c r="D10" s="8">
        <v>0.376</v>
      </c>
      <c r="E10" s="8">
        <v>0.19700000000000001</v>
      </c>
      <c r="G10" s="20" t="s">
        <v>25</v>
      </c>
      <c r="H10" s="5" t="s">
        <v>26</v>
      </c>
      <c r="I10" s="8">
        <v>0.95799999999999996</v>
      </c>
      <c r="J10" s="9">
        <v>0.373</v>
      </c>
      <c r="K10" s="21">
        <v>0.19700000000000001</v>
      </c>
      <c r="L10" s="8"/>
      <c r="M10" s="6" t="s">
        <v>25</v>
      </c>
      <c r="N10" s="5" t="s">
        <v>26</v>
      </c>
      <c r="O10" s="8">
        <v>0.95799999999999996</v>
      </c>
      <c r="P10" s="9">
        <f t="shared" si="0"/>
        <v>0.91646191646191655</v>
      </c>
      <c r="Q10" s="8">
        <f t="shared" si="1"/>
        <v>0.8954545454545455</v>
      </c>
      <c r="R10" s="8"/>
      <c r="S10" s="35">
        <v>20</v>
      </c>
      <c r="T10" s="36">
        <v>5</v>
      </c>
      <c r="U10" s="62">
        <v>5</v>
      </c>
      <c r="V10" s="57" t="s">
        <v>14</v>
      </c>
      <c r="W10" s="44">
        <f>13.664929*(1/I10)</f>
        <v>14.264017745302716</v>
      </c>
      <c r="X10" s="37">
        <f>13.664929*(1/J10)</f>
        <v>36.635198391420914</v>
      </c>
      <c r="Y10" s="38">
        <f>13.664929*(1/K10)</f>
        <v>69.365121827411173</v>
      </c>
      <c r="Z10" s="37">
        <f>W10/13.664929</f>
        <v>1.0438413361169103</v>
      </c>
      <c r="AA10" s="37">
        <f>X10/13.664929</f>
        <v>2.6809651474530831</v>
      </c>
      <c r="AB10" s="37">
        <f>Y10/13.664929</f>
        <v>5.0761421319796955</v>
      </c>
      <c r="AC10" s="44">
        <f>100*(Z10-1)</f>
        <v>4.3841336116910323</v>
      </c>
      <c r="AD10" s="37">
        <f>100*(AA10-1)</f>
        <v>168.0965147453083</v>
      </c>
      <c r="AE10" s="38">
        <f>100*(AB10-1)</f>
        <v>407.61421319796955</v>
      </c>
      <c r="AF10" s="44">
        <f>Z10/1</f>
        <v>1.0438413361169103</v>
      </c>
      <c r="AG10" s="37">
        <f>AA10/2.457002457</f>
        <v>1.0911528150144958</v>
      </c>
      <c r="AH10" s="38">
        <f>AB10/4.545454545</f>
        <v>1.1167512691472081</v>
      </c>
      <c r="AI10" s="37">
        <f t="shared" si="5"/>
        <v>4.3841336116910323</v>
      </c>
      <c r="AJ10" s="37">
        <f t="shared" si="2"/>
        <v>9.11528150144958</v>
      </c>
      <c r="AK10" s="38">
        <f t="shared" si="2"/>
        <v>11.675126914720813</v>
      </c>
      <c r="AL10" s="50">
        <v>0.95799999999999996</v>
      </c>
      <c r="AM10" s="51">
        <v>0.373</v>
      </c>
      <c r="AN10" s="51">
        <v>0.19700000000000001</v>
      </c>
      <c r="AO10" s="50">
        <f t="shared" si="6"/>
        <v>4.2000000000000037</v>
      </c>
      <c r="AP10" s="51">
        <f t="shared" si="3"/>
        <v>62.7</v>
      </c>
      <c r="AQ10" s="54">
        <f t="shared" si="3"/>
        <v>80.3</v>
      </c>
      <c r="AR10" s="51">
        <v>0.95799999999999996</v>
      </c>
      <c r="AS10" s="51">
        <f>AM10/0.407</f>
        <v>0.91646191646191655</v>
      </c>
      <c r="AT10" s="54">
        <f t="shared" si="7"/>
        <v>0.8954545454545455</v>
      </c>
      <c r="AU10" s="44">
        <f t="shared" si="8"/>
        <v>4.2000000000000037</v>
      </c>
      <c r="AV10" s="37">
        <f t="shared" si="4"/>
        <v>8.3538083538083452</v>
      </c>
      <c r="AW10" s="38">
        <f t="shared" si="4"/>
        <v>10.45454545454545</v>
      </c>
    </row>
    <row r="11" spans="1:49" ht="15">
      <c r="A11" s="6" t="s">
        <v>43</v>
      </c>
      <c r="B11" s="5" t="s">
        <v>38</v>
      </c>
      <c r="C11" s="8">
        <v>0.94899999999999995</v>
      </c>
      <c r="D11" s="8">
        <v>0.375</v>
      </c>
      <c r="E11" s="8">
        <v>0.187</v>
      </c>
      <c r="G11" s="20" t="s">
        <v>43</v>
      </c>
      <c r="H11" s="5" t="s">
        <v>38</v>
      </c>
      <c r="I11" s="8">
        <v>0.94899999999999995</v>
      </c>
      <c r="J11" s="9">
        <v>0.372</v>
      </c>
      <c r="K11" s="21">
        <v>0.187</v>
      </c>
      <c r="L11" s="8"/>
      <c r="M11" s="6" t="s">
        <v>43</v>
      </c>
      <c r="N11" s="5" t="s">
        <v>38</v>
      </c>
      <c r="O11" s="8">
        <v>0.94899999999999995</v>
      </c>
      <c r="P11" s="9">
        <f t="shared" si="0"/>
        <v>0.91400491400491402</v>
      </c>
      <c r="Q11" s="8">
        <f t="shared" si="1"/>
        <v>0.85</v>
      </c>
      <c r="R11" s="8"/>
      <c r="S11" s="35">
        <v>10</v>
      </c>
      <c r="T11" s="36">
        <v>20</v>
      </c>
      <c r="U11" s="62">
        <v>0</v>
      </c>
      <c r="V11" s="57" t="s">
        <v>16</v>
      </c>
      <c r="W11" s="44">
        <f>13.664929*(1/I11)</f>
        <v>14.399292939936776</v>
      </c>
      <c r="X11" s="37">
        <f>13.664929*(1/J11)</f>
        <v>36.73368010752688</v>
      </c>
      <c r="Y11" s="38">
        <f>13.664929*(1/K11)</f>
        <v>73.074486631016043</v>
      </c>
      <c r="Z11" s="37">
        <f>W11/13.664929</f>
        <v>1.053740779768177</v>
      </c>
      <c r="AA11" s="37">
        <f>X11/13.664929</f>
        <v>2.6881720430107525</v>
      </c>
      <c r="AB11" s="37">
        <f>Y11/13.664929</f>
        <v>5.3475935828877006</v>
      </c>
      <c r="AC11" s="44">
        <f>100*(Z11-1)</f>
        <v>5.3740779768177038</v>
      </c>
      <c r="AD11" s="37">
        <f>100*(AA11-1)</f>
        <v>168.81720430107526</v>
      </c>
      <c r="AE11" s="38">
        <f>100*(AB11-1)</f>
        <v>434.75935828877004</v>
      </c>
      <c r="AF11" s="44">
        <f>Z11/1</f>
        <v>1.053740779768177</v>
      </c>
      <c r="AG11" s="37">
        <f>AA11/2.457002457</f>
        <v>1.0940860215064703</v>
      </c>
      <c r="AH11" s="38">
        <f>AB11/4.545454545</f>
        <v>1.1764705883529412</v>
      </c>
      <c r="AI11" s="37">
        <f t="shared" si="5"/>
        <v>5.3740779768177038</v>
      </c>
      <c r="AJ11" s="37">
        <f t="shared" si="2"/>
        <v>9.4086021506470274</v>
      </c>
      <c r="AK11" s="38">
        <f t="shared" si="2"/>
        <v>17.647058835294118</v>
      </c>
      <c r="AL11" s="50">
        <v>0.94899999999999995</v>
      </c>
      <c r="AM11" s="51">
        <v>0.372</v>
      </c>
      <c r="AN11" s="51">
        <v>0.187</v>
      </c>
      <c r="AO11" s="50">
        <f t="shared" si="6"/>
        <v>5.100000000000005</v>
      </c>
      <c r="AP11" s="51">
        <f t="shared" si="3"/>
        <v>62.8</v>
      </c>
      <c r="AQ11" s="54">
        <f t="shared" si="3"/>
        <v>81.3</v>
      </c>
      <c r="AR11" s="51">
        <v>0.94899999999999995</v>
      </c>
      <c r="AS11" s="51">
        <f>AM11/0.407</f>
        <v>0.91400491400491402</v>
      </c>
      <c r="AT11" s="54">
        <f t="shared" si="7"/>
        <v>0.85</v>
      </c>
      <c r="AU11" s="44">
        <f t="shared" si="8"/>
        <v>5.100000000000005</v>
      </c>
      <c r="AV11" s="37">
        <f t="shared" si="4"/>
        <v>8.5995085995085994</v>
      </c>
      <c r="AW11" s="38">
        <f t="shared" si="4"/>
        <v>15.000000000000002</v>
      </c>
    </row>
    <row r="12" spans="1:49" ht="15">
      <c r="A12" s="6" t="s">
        <v>27</v>
      </c>
      <c r="B12" s="5" t="s">
        <v>28</v>
      </c>
      <c r="C12" s="8">
        <v>0.94299999999999995</v>
      </c>
      <c r="D12" s="8">
        <v>0.36599999999999999</v>
      </c>
      <c r="E12" s="8">
        <v>0.17</v>
      </c>
      <c r="G12" s="20" t="s">
        <v>27</v>
      </c>
      <c r="H12" s="5" t="s">
        <v>28</v>
      </c>
      <c r="I12" s="8">
        <v>0.94299999999999995</v>
      </c>
      <c r="J12" s="8">
        <v>0.36599999999999999</v>
      </c>
      <c r="K12" s="21">
        <v>0.17</v>
      </c>
      <c r="L12" s="8"/>
      <c r="M12" s="6" t="s">
        <v>27</v>
      </c>
      <c r="N12" s="5" t="s">
        <v>28</v>
      </c>
      <c r="O12" s="8">
        <v>0.94299999999999995</v>
      </c>
      <c r="P12" s="8">
        <f t="shared" si="0"/>
        <v>0.89926289926289926</v>
      </c>
      <c r="Q12" s="8">
        <f t="shared" si="1"/>
        <v>0.77272727272727282</v>
      </c>
      <c r="R12" s="8"/>
      <c r="S12" s="35">
        <v>15</v>
      </c>
      <c r="T12" s="36">
        <v>10</v>
      </c>
      <c r="U12" s="62">
        <v>5</v>
      </c>
      <c r="V12" s="57" t="s">
        <v>18</v>
      </c>
      <c r="W12" s="44">
        <f>13.664929*(1/I12)</f>
        <v>14.490910922587489</v>
      </c>
      <c r="X12" s="37">
        <f>13.664929*(1/J12)</f>
        <v>37.335871584699454</v>
      </c>
      <c r="Y12" s="38">
        <f>13.664929*(1/K12)</f>
        <v>80.381935294117639</v>
      </c>
      <c r="Z12" s="37">
        <f>W12/13.664929</f>
        <v>1.0604453870625663</v>
      </c>
      <c r="AA12" s="37">
        <f>X12/13.664929</f>
        <v>2.7322404371584699</v>
      </c>
      <c r="AB12" s="37">
        <f>Y12/13.664929</f>
        <v>5.8823529411764692</v>
      </c>
      <c r="AC12" s="44">
        <f>100*(Z12-1)</f>
        <v>6.0445387062566303</v>
      </c>
      <c r="AD12" s="37">
        <f>100*(AA12-1)</f>
        <v>173.22404371584699</v>
      </c>
      <c r="AE12" s="38">
        <f>100*(AB12-1)</f>
        <v>488.2352941176469</v>
      </c>
      <c r="AF12" s="44">
        <f>Z12/1</f>
        <v>1.0604453870625663</v>
      </c>
      <c r="AG12" s="37">
        <f>AA12/2.457002457</f>
        <v>1.1120218579246093</v>
      </c>
      <c r="AH12" s="38">
        <f>AB12/4.545454545</f>
        <v>1.294117647188235</v>
      </c>
      <c r="AI12" s="37">
        <f t="shared" si="5"/>
        <v>6.0445387062566303</v>
      </c>
      <c r="AJ12" s="37">
        <f t="shared" si="2"/>
        <v>11.202185792460927</v>
      </c>
      <c r="AK12" s="38">
        <f t="shared" si="2"/>
        <v>29.411764718823498</v>
      </c>
      <c r="AL12" s="50">
        <v>0.94299999999999995</v>
      </c>
      <c r="AM12" s="51">
        <v>0.36599999999999999</v>
      </c>
      <c r="AN12" s="51">
        <v>0.17</v>
      </c>
      <c r="AO12" s="50">
        <f t="shared" si="6"/>
        <v>5.7000000000000046</v>
      </c>
      <c r="AP12" s="51">
        <f t="shared" si="3"/>
        <v>63.4</v>
      </c>
      <c r="AQ12" s="54">
        <f t="shared" si="3"/>
        <v>83</v>
      </c>
      <c r="AR12" s="51">
        <v>0.94299999999999995</v>
      </c>
      <c r="AS12" s="51">
        <f>AM12/0.407</f>
        <v>0.89926289926289926</v>
      </c>
      <c r="AT12" s="54">
        <f t="shared" si="7"/>
        <v>0.77272727272727282</v>
      </c>
      <c r="AU12" s="44">
        <f t="shared" si="8"/>
        <v>5.7000000000000046</v>
      </c>
      <c r="AV12" s="37">
        <f t="shared" si="4"/>
        <v>10.073710073710075</v>
      </c>
      <c r="AW12" s="38">
        <f t="shared" si="4"/>
        <v>22.72727272727272</v>
      </c>
    </row>
    <row r="13" spans="1:49" ht="15">
      <c r="A13" s="6" t="s">
        <v>44</v>
      </c>
      <c r="B13" s="5" t="s">
        <v>37</v>
      </c>
      <c r="C13" s="8">
        <v>0.92200000000000004</v>
      </c>
      <c r="D13" s="8">
        <v>0.35399999999999998</v>
      </c>
      <c r="E13" s="8">
        <v>0.16</v>
      </c>
      <c r="G13" s="20" t="s">
        <v>44</v>
      </c>
      <c r="H13" s="5" t="s">
        <v>37</v>
      </c>
      <c r="I13" s="9">
        <v>0.92900000000000005</v>
      </c>
      <c r="J13" s="8">
        <v>0.35399999999999998</v>
      </c>
      <c r="K13" s="21">
        <v>0.16</v>
      </c>
      <c r="L13" s="8"/>
      <c r="M13" s="6" t="s">
        <v>44</v>
      </c>
      <c r="N13" s="5" t="s">
        <v>37</v>
      </c>
      <c r="O13" s="9">
        <v>0.92900000000000005</v>
      </c>
      <c r="P13" s="8">
        <f t="shared" si="0"/>
        <v>0.86977886977886976</v>
      </c>
      <c r="Q13" s="8">
        <f t="shared" si="1"/>
        <v>0.72727272727272729</v>
      </c>
      <c r="R13" s="8"/>
      <c r="S13" s="35">
        <v>5</v>
      </c>
      <c r="T13" s="36">
        <v>25</v>
      </c>
      <c r="U13" s="62">
        <v>0</v>
      </c>
      <c r="V13" s="57" t="s">
        <v>20</v>
      </c>
      <c r="W13" s="44">
        <f>13.664929*(1/I13)</f>
        <v>14.709288482238968</v>
      </c>
      <c r="X13" s="37">
        <f>13.664929*(1/J13)</f>
        <v>38.601494350282493</v>
      </c>
      <c r="Y13" s="38">
        <f>13.664929*(1/K13)</f>
        <v>85.405806250000012</v>
      </c>
      <c r="Z13" s="37">
        <f>W13/13.664929</f>
        <v>1.0764262648008611</v>
      </c>
      <c r="AA13" s="37">
        <f>X13/13.664929</f>
        <v>2.8248587570621475</v>
      </c>
      <c r="AB13" s="37">
        <f>Y13/13.664929</f>
        <v>6.2500000000000009</v>
      </c>
      <c r="AC13" s="44">
        <f>100*(Z13-1)</f>
        <v>7.6426264800861121</v>
      </c>
      <c r="AD13" s="37">
        <f>100*(AA13-1)</f>
        <v>182.48587570621476</v>
      </c>
      <c r="AE13" s="38">
        <f>100*(AB13-1)</f>
        <v>525.00000000000011</v>
      </c>
      <c r="AF13" s="44">
        <f>Z13/1</f>
        <v>1.0764262648008611</v>
      </c>
      <c r="AG13" s="37">
        <f>AA13/2.457002457</f>
        <v>1.1497175141254437</v>
      </c>
      <c r="AH13" s="38">
        <f>AB13/4.545454545</f>
        <v>1.3750000001375002</v>
      </c>
      <c r="AI13" s="37">
        <f t="shared" si="5"/>
        <v>7.6426264800861121</v>
      </c>
      <c r="AJ13" s="37">
        <f t="shared" si="2"/>
        <v>14.971751412544364</v>
      </c>
      <c r="AK13" s="38">
        <f t="shared" si="2"/>
        <v>37.500000013750025</v>
      </c>
      <c r="AL13" s="50">
        <v>0.92900000000000005</v>
      </c>
      <c r="AM13" s="51">
        <v>0.35399999999999998</v>
      </c>
      <c r="AN13" s="51">
        <v>0.16</v>
      </c>
      <c r="AO13" s="50">
        <f t="shared" si="6"/>
        <v>7.0999999999999952</v>
      </c>
      <c r="AP13" s="51">
        <f t="shared" si="3"/>
        <v>64.600000000000009</v>
      </c>
      <c r="AQ13" s="54">
        <f t="shared" si="3"/>
        <v>84</v>
      </c>
      <c r="AR13" s="51">
        <v>0.92900000000000005</v>
      </c>
      <c r="AS13" s="51">
        <f>AM13/0.407</f>
        <v>0.86977886977886976</v>
      </c>
      <c r="AT13" s="54">
        <f t="shared" si="7"/>
        <v>0.72727272727272729</v>
      </c>
      <c r="AU13" s="44">
        <f t="shared" si="8"/>
        <v>7.0999999999999952</v>
      </c>
      <c r="AV13" s="37">
        <f t="shared" si="4"/>
        <v>13.022113022113025</v>
      </c>
      <c r="AW13" s="38">
        <f t="shared" si="4"/>
        <v>27.27272727272727</v>
      </c>
    </row>
    <row r="14" spans="1:49" ht="15">
      <c r="A14" s="6" t="s">
        <v>19</v>
      </c>
      <c r="B14" s="5" t="s">
        <v>20</v>
      </c>
      <c r="C14" s="8">
        <v>0.92200000000000004</v>
      </c>
      <c r="D14" s="8">
        <v>0.251</v>
      </c>
      <c r="E14" s="8">
        <v>0.14000000000000001</v>
      </c>
      <c r="G14" s="20" t="s">
        <v>19</v>
      </c>
      <c r="H14" s="5" t="s">
        <v>20</v>
      </c>
      <c r="I14" s="8">
        <v>0.92200000000000004</v>
      </c>
      <c r="J14" s="9">
        <v>0.34300000000000003</v>
      </c>
      <c r="K14" s="22">
        <v>0.154</v>
      </c>
      <c r="L14" s="9"/>
      <c r="M14" s="6" t="s">
        <v>19</v>
      </c>
      <c r="N14" s="5" t="s">
        <v>20</v>
      </c>
      <c r="O14" s="8">
        <v>0.92200000000000004</v>
      </c>
      <c r="P14" s="9">
        <f t="shared" si="0"/>
        <v>0.84275184275184289</v>
      </c>
      <c r="Q14" s="9">
        <f t="shared" si="1"/>
        <v>0.7</v>
      </c>
      <c r="R14" s="9"/>
      <c r="S14" s="35">
        <v>20</v>
      </c>
      <c r="T14" s="36">
        <v>0</v>
      </c>
      <c r="U14" s="62">
        <v>10</v>
      </c>
      <c r="V14" s="57" t="s">
        <v>22</v>
      </c>
      <c r="W14" s="44">
        <f>13.664929*(1/I14)</f>
        <v>14.820964208242952</v>
      </c>
      <c r="X14" s="37">
        <f>13.664929*(1/J14)</f>
        <v>39.839443148688048</v>
      </c>
      <c r="Y14" s="38">
        <f>13.664929*(1/K14)</f>
        <v>88.733305194805197</v>
      </c>
      <c r="Z14" s="37">
        <f>W14/13.664929</f>
        <v>1.0845986984815619</v>
      </c>
      <c r="AA14" s="37">
        <f>X14/13.664929</f>
        <v>2.9154518950437316</v>
      </c>
      <c r="AB14" s="37">
        <f>Y14/13.664929</f>
        <v>6.4935064935064934</v>
      </c>
      <c r="AC14" s="44">
        <f>100*(Z14-1)</f>
        <v>8.4598698481561883</v>
      </c>
      <c r="AD14" s="37">
        <f>100*(AA14-1)</f>
        <v>191.54518950437316</v>
      </c>
      <c r="AE14" s="38">
        <f>100*(AB14-1)</f>
        <v>549.35064935064929</v>
      </c>
      <c r="AF14" s="44">
        <f>Z14/1</f>
        <v>1.0845986984815619</v>
      </c>
      <c r="AG14" s="37">
        <f>AA14/2.457002457</f>
        <v>1.1865889212839853</v>
      </c>
      <c r="AH14" s="38">
        <f>AB14/4.545454545</f>
        <v>1.4285714287142857</v>
      </c>
      <c r="AI14" s="37">
        <f t="shared" si="5"/>
        <v>8.4598698481561883</v>
      </c>
      <c r="AJ14" s="37">
        <f t="shared" si="2"/>
        <v>18.658892128398531</v>
      </c>
      <c r="AK14" s="38">
        <f t="shared" si="2"/>
        <v>42.857142871428564</v>
      </c>
      <c r="AL14" s="50">
        <v>0.92200000000000004</v>
      </c>
      <c r="AM14" s="51">
        <v>0.34300000000000003</v>
      </c>
      <c r="AN14" s="51">
        <v>0.154</v>
      </c>
      <c r="AO14" s="50">
        <f t="shared" si="6"/>
        <v>7.7999999999999954</v>
      </c>
      <c r="AP14" s="51">
        <f t="shared" si="3"/>
        <v>65.7</v>
      </c>
      <c r="AQ14" s="54">
        <f t="shared" si="3"/>
        <v>84.6</v>
      </c>
      <c r="AR14" s="51">
        <v>0.92200000000000004</v>
      </c>
      <c r="AS14" s="51">
        <f>AM14/0.407</f>
        <v>0.84275184275184289</v>
      </c>
      <c r="AT14" s="54">
        <f t="shared" si="7"/>
        <v>0.7</v>
      </c>
      <c r="AU14" s="44">
        <f t="shared" si="8"/>
        <v>7.7999999999999954</v>
      </c>
      <c r="AV14" s="37">
        <f t="shared" si="4"/>
        <v>15.724815724815711</v>
      </c>
      <c r="AW14" s="38">
        <f t="shared" si="4"/>
        <v>30.000000000000004</v>
      </c>
    </row>
    <row r="15" spans="1:49" ht="15">
      <c r="A15" s="6" t="s">
        <v>5</v>
      </c>
      <c r="B15" s="5" t="s">
        <v>6</v>
      </c>
      <c r="C15" s="8">
        <v>0.89100000000000001</v>
      </c>
      <c r="D15" s="8">
        <v>0.34</v>
      </c>
      <c r="E15" s="8">
        <v>0.14199999999999999</v>
      </c>
      <c r="G15" s="20" t="s">
        <v>5</v>
      </c>
      <c r="H15" s="5" t="s">
        <v>6</v>
      </c>
      <c r="I15" s="8">
        <v>0.89100000000000001</v>
      </c>
      <c r="J15" s="9">
        <v>0.34100000000000003</v>
      </c>
      <c r="K15" s="22">
        <v>0.14899999999999999</v>
      </c>
      <c r="L15" s="9"/>
      <c r="M15" s="6" t="s">
        <v>5</v>
      </c>
      <c r="N15" s="5" t="s">
        <v>6</v>
      </c>
      <c r="O15" s="8">
        <v>0.89100000000000001</v>
      </c>
      <c r="P15" s="9">
        <f t="shared" si="0"/>
        <v>0.83783783783783794</v>
      </c>
      <c r="Q15" s="9">
        <f t="shared" si="1"/>
        <v>0.67727272727272725</v>
      </c>
      <c r="R15" s="9"/>
      <c r="S15" s="35">
        <v>0</v>
      </c>
      <c r="T15" s="36">
        <v>30</v>
      </c>
      <c r="U15" s="62">
        <v>0</v>
      </c>
      <c r="V15" s="57" t="s">
        <v>24</v>
      </c>
      <c r="W15" s="44">
        <f>13.664929*(1/I15)</f>
        <v>15.336620650953986</v>
      </c>
      <c r="X15" s="37">
        <f>13.664929*(1/J15)</f>
        <v>40.073105571847506</v>
      </c>
      <c r="Y15" s="38">
        <f>13.664929*(1/K15)</f>
        <v>91.710932885906047</v>
      </c>
      <c r="Z15" s="37">
        <f>W15/13.664929</f>
        <v>1.122334455667789</v>
      </c>
      <c r="AA15" s="37">
        <f>X15/13.664929</f>
        <v>2.9325513196480935</v>
      </c>
      <c r="AB15" s="37">
        <f>Y15/13.664929</f>
        <v>6.7114093959731544</v>
      </c>
      <c r="AC15" s="44">
        <f>100*(Z15-1)</f>
        <v>12.233445566778901</v>
      </c>
      <c r="AD15" s="37">
        <f>100*(AA15-1)</f>
        <v>193.25513196480935</v>
      </c>
      <c r="AE15" s="38">
        <f>100*(AB15-1)</f>
        <v>571.14093959731542</v>
      </c>
      <c r="AF15" s="44">
        <f>Z15/1</f>
        <v>1.122334455667789</v>
      </c>
      <c r="AG15" s="37">
        <f>AA15/2.457002457</f>
        <v>1.1935483870979675</v>
      </c>
      <c r="AH15" s="38">
        <f>AB15/4.545454545</f>
        <v>1.4765100672617451</v>
      </c>
      <c r="AI15" s="37">
        <f t="shared" si="5"/>
        <v>12.233445566778901</v>
      </c>
      <c r="AJ15" s="37">
        <f t="shared" si="2"/>
        <v>19.354838709796752</v>
      </c>
      <c r="AK15" s="38">
        <f t="shared" si="2"/>
        <v>47.651006726174508</v>
      </c>
      <c r="AL15" s="50">
        <v>0.89100000000000001</v>
      </c>
      <c r="AM15" s="51">
        <v>0.34100000000000003</v>
      </c>
      <c r="AN15" s="51">
        <v>0.14899999999999999</v>
      </c>
      <c r="AO15" s="50">
        <f t="shared" si="6"/>
        <v>10.899999999999999</v>
      </c>
      <c r="AP15" s="51">
        <f t="shared" si="3"/>
        <v>65.900000000000006</v>
      </c>
      <c r="AQ15" s="54">
        <f t="shared" si="3"/>
        <v>85.1</v>
      </c>
      <c r="AR15" s="51">
        <v>0.89100000000000001</v>
      </c>
      <c r="AS15" s="51">
        <f>AM15/0.407</f>
        <v>0.83783783783783794</v>
      </c>
      <c r="AT15" s="54">
        <f t="shared" si="7"/>
        <v>0.67727272727272725</v>
      </c>
      <c r="AU15" s="44">
        <f t="shared" si="8"/>
        <v>10.899999999999999</v>
      </c>
      <c r="AV15" s="37">
        <f t="shared" si="4"/>
        <v>16.216216216216207</v>
      </c>
      <c r="AW15" s="38">
        <f t="shared" si="4"/>
        <v>32.272727272727273</v>
      </c>
    </row>
    <row r="16" spans="1:49" ht="15">
      <c r="A16" s="6" t="s">
        <v>15</v>
      </c>
      <c r="B16" s="5" t="s">
        <v>16</v>
      </c>
      <c r="C16" s="8">
        <v>0.89</v>
      </c>
      <c r="D16" s="8">
        <v>0.33900000000000002</v>
      </c>
      <c r="E16" s="8">
        <v>0.17599999999999999</v>
      </c>
      <c r="G16" s="20" t="s">
        <v>15</v>
      </c>
      <c r="H16" s="5" t="s">
        <v>16</v>
      </c>
      <c r="I16" s="8">
        <v>0.89</v>
      </c>
      <c r="J16" s="8">
        <v>0.33900000000000002</v>
      </c>
      <c r="K16" s="22">
        <v>0.14799999999999999</v>
      </c>
      <c r="L16" s="9"/>
      <c r="M16" s="6" t="s">
        <v>15</v>
      </c>
      <c r="N16" s="5" t="s">
        <v>16</v>
      </c>
      <c r="O16" s="8">
        <v>0.89</v>
      </c>
      <c r="P16" s="8">
        <f t="shared" si="0"/>
        <v>0.83292383292383299</v>
      </c>
      <c r="Q16" s="9">
        <f t="shared" si="1"/>
        <v>0.67272727272727273</v>
      </c>
      <c r="R16" s="9"/>
      <c r="S16" s="35">
        <v>10</v>
      </c>
      <c r="T16" s="36">
        <v>10</v>
      </c>
      <c r="U16" s="62">
        <v>10</v>
      </c>
      <c r="V16" s="57" t="s">
        <v>26</v>
      </c>
      <c r="W16" s="44">
        <f>13.664929*(1/I16)</f>
        <v>15.353852808988766</v>
      </c>
      <c r="X16" s="37">
        <f>13.664929*(1/J16)</f>
        <v>40.309525073746315</v>
      </c>
      <c r="Y16" s="38">
        <f>13.664929*(1/K16)</f>
        <v>92.330601351351362</v>
      </c>
      <c r="Z16" s="37">
        <f>W16/13.664929</f>
        <v>1.1235955056179776</v>
      </c>
      <c r="AA16" s="37">
        <f>X16/13.664929</f>
        <v>2.9498525073746311</v>
      </c>
      <c r="AB16" s="37">
        <f>Y16/13.664929</f>
        <v>6.756756756756757</v>
      </c>
      <c r="AC16" s="44">
        <f>100*(Z16-1)</f>
        <v>12.359550561797761</v>
      </c>
      <c r="AD16" s="37">
        <f>100*(AA16-1)</f>
        <v>194.9852507374631</v>
      </c>
      <c r="AE16" s="38">
        <f>100*(AB16-1)</f>
        <v>575.67567567567573</v>
      </c>
      <c r="AF16" s="44">
        <f>Z16/1</f>
        <v>1.1235955056179776</v>
      </c>
      <c r="AG16" s="37">
        <f>AA16/2.457002457</f>
        <v>1.2005899705026755</v>
      </c>
      <c r="AH16" s="38">
        <f>AB16/4.545454545</f>
        <v>1.4864864866351351</v>
      </c>
      <c r="AI16" s="37">
        <f t="shared" si="5"/>
        <v>12.359550561797761</v>
      </c>
      <c r="AJ16" s="37">
        <f t="shared" si="2"/>
        <v>20.058997050267546</v>
      </c>
      <c r="AK16" s="38">
        <f t="shared" si="2"/>
        <v>48.648648663513505</v>
      </c>
      <c r="AL16" s="50">
        <v>0.89</v>
      </c>
      <c r="AM16" s="51">
        <v>0.33900000000000002</v>
      </c>
      <c r="AN16" s="51">
        <v>0.14799999999999999</v>
      </c>
      <c r="AO16" s="50">
        <f t="shared" si="6"/>
        <v>10.999999999999998</v>
      </c>
      <c r="AP16" s="51">
        <f t="shared" si="3"/>
        <v>66.100000000000009</v>
      </c>
      <c r="AQ16" s="54">
        <f t="shared" si="3"/>
        <v>85.2</v>
      </c>
      <c r="AR16" s="51">
        <v>0.89</v>
      </c>
      <c r="AS16" s="51">
        <f>AM16/0.407</f>
        <v>0.83292383292383299</v>
      </c>
      <c r="AT16" s="54">
        <f t="shared" si="7"/>
        <v>0.67272727272727273</v>
      </c>
      <c r="AU16" s="44">
        <f t="shared" si="8"/>
        <v>10.999999999999998</v>
      </c>
      <c r="AV16" s="37">
        <f t="shared" si="4"/>
        <v>16.707616707616701</v>
      </c>
      <c r="AW16" s="38">
        <f t="shared" si="4"/>
        <v>32.727272727272727</v>
      </c>
    </row>
    <row r="17" spans="1:49" ht="15">
      <c r="A17" s="6" t="s">
        <v>11</v>
      </c>
      <c r="B17" s="5" t="s">
        <v>12</v>
      </c>
      <c r="C17" s="8">
        <v>0.88200000000000001</v>
      </c>
      <c r="D17" s="8">
        <v>0.33700000000000002</v>
      </c>
      <c r="E17" s="8">
        <v>0.14699999999999999</v>
      </c>
      <c r="G17" s="20" t="s">
        <v>11</v>
      </c>
      <c r="H17" s="5" t="s">
        <v>12</v>
      </c>
      <c r="I17" s="8">
        <v>0.88200000000000001</v>
      </c>
      <c r="J17" s="8">
        <v>0.33700000000000002</v>
      </c>
      <c r="K17" s="21">
        <v>0.14699999999999999</v>
      </c>
      <c r="L17" s="8"/>
      <c r="M17" s="6" t="s">
        <v>11</v>
      </c>
      <c r="N17" s="5" t="s">
        <v>12</v>
      </c>
      <c r="O17" s="8">
        <v>0.88200000000000001</v>
      </c>
      <c r="P17" s="8">
        <f t="shared" si="0"/>
        <v>0.82800982800982814</v>
      </c>
      <c r="Q17" s="8">
        <f t="shared" si="1"/>
        <v>0.6681818181818181</v>
      </c>
      <c r="R17" s="8"/>
      <c r="S17" s="35">
        <v>15</v>
      </c>
      <c r="T17" s="36">
        <v>0</v>
      </c>
      <c r="U17" s="62">
        <v>15</v>
      </c>
      <c r="V17" s="57" t="s">
        <v>28</v>
      </c>
      <c r="W17" s="44">
        <f>13.664929*(1/I17)</f>
        <v>15.493116780045352</v>
      </c>
      <c r="X17" s="37">
        <f>13.664929*(1/J17)</f>
        <v>40.548750741839761</v>
      </c>
      <c r="Y17" s="38">
        <f>13.664929*(1/K17)</f>
        <v>92.958700680272116</v>
      </c>
      <c r="Z17" s="37">
        <f>W17/13.664929</f>
        <v>1.1337868480725624</v>
      </c>
      <c r="AA17" s="37">
        <f>X17/13.664929</f>
        <v>2.9673590504451037</v>
      </c>
      <c r="AB17" s="37">
        <f>Y17/13.664929</f>
        <v>6.8027210884353746</v>
      </c>
      <c r="AC17" s="44">
        <f>100*(Z17-1)</f>
        <v>13.378684807256235</v>
      </c>
      <c r="AD17" s="37">
        <f>100*(AA17-1)</f>
        <v>196.73590504451036</v>
      </c>
      <c r="AE17" s="38">
        <f>100*(AB17-1)</f>
        <v>580.27210884353747</v>
      </c>
      <c r="AF17" s="44">
        <f>Z17/1</f>
        <v>1.1337868480725624</v>
      </c>
      <c r="AG17" s="37">
        <f>AA17/2.457002457</f>
        <v>1.2077151335323648</v>
      </c>
      <c r="AH17" s="38">
        <f>AB17/4.545454545</f>
        <v>1.4965986396054423</v>
      </c>
      <c r="AI17" s="37">
        <f t="shared" si="5"/>
        <v>13.378684807256235</v>
      </c>
      <c r="AJ17" s="37">
        <f t="shared" si="2"/>
        <v>20.771513353236482</v>
      </c>
      <c r="AK17" s="38">
        <f t="shared" si="2"/>
        <v>49.659863960544229</v>
      </c>
      <c r="AL17" s="50">
        <v>0.88200000000000001</v>
      </c>
      <c r="AM17" s="51">
        <v>0.33700000000000002</v>
      </c>
      <c r="AN17" s="51">
        <v>0.14699999999999999</v>
      </c>
      <c r="AO17" s="50">
        <f t="shared" si="6"/>
        <v>11.799999999999999</v>
      </c>
      <c r="AP17" s="51">
        <f t="shared" si="3"/>
        <v>66.3</v>
      </c>
      <c r="AQ17" s="54">
        <f t="shared" si="3"/>
        <v>85.3</v>
      </c>
      <c r="AR17" s="51">
        <v>0.88200000000000001</v>
      </c>
      <c r="AS17" s="51">
        <f>AM17/0.407</f>
        <v>0.82800982800982814</v>
      </c>
      <c r="AT17" s="54">
        <f t="shared" si="7"/>
        <v>0.6681818181818181</v>
      </c>
      <c r="AU17" s="44">
        <f t="shared" si="8"/>
        <v>11.799999999999999</v>
      </c>
      <c r="AV17" s="37">
        <f t="shared" si="4"/>
        <v>17.199017199017185</v>
      </c>
      <c r="AW17" s="38">
        <f t="shared" si="4"/>
        <v>33.181818181818187</v>
      </c>
    </row>
    <row r="18" spans="1:49" ht="15">
      <c r="A18" s="6" t="s">
        <v>29</v>
      </c>
      <c r="B18" s="5" t="s">
        <v>30</v>
      </c>
      <c r="C18" s="8">
        <v>0.86099999999999999</v>
      </c>
      <c r="D18" s="8">
        <v>0.34499999999999997</v>
      </c>
      <c r="E18" s="8">
        <v>0.105</v>
      </c>
      <c r="G18" s="20" t="s">
        <v>29</v>
      </c>
      <c r="H18" s="5" t="s">
        <v>30</v>
      </c>
      <c r="I18" s="8">
        <v>0.86099999999999999</v>
      </c>
      <c r="J18" s="9">
        <v>0.32900000000000001</v>
      </c>
      <c r="K18" s="22">
        <v>0.14299999999999999</v>
      </c>
      <c r="L18" s="9"/>
      <c r="M18" s="6" t="s">
        <v>29</v>
      </c>
      <c r="N18" s="5" t="s">
        <v>30</v>
      </c>
      <c r="O18" s="8">
        <v>0.86099999999999999</v>
      </c>
      <c r="P18" s="9">
        <f t="shared" si="0"/>
        <v>0.80835380835380843</v>
      </c>
      <c r="Q18" s="9">
        <f t="shared" si="1"/>
        <v>0.64999999999999991</v>
      </c>
      <c r="R18" s="9"/>
      <c r="S18" s="35">
        <v>0</v>
      </c>
      <c r="T18" s="36">
        <v>25</v>
      </c>
      <c r="U18" s="62">
        <v>5</v>
      </c>
      <c r="V18" s="57" t="s">
        <v>30</v>
      </c>
      <c r="W18" s="44">
        <f>13.664929*(1/I18)</f>
        <v>15.870997677119629</v>
      </c>
      <c r="X18" s="37">
        <f>13.664929*(1/J18)</f>
        <v>41.534738601823705</v>
      </c>
      <c r="Y18" s="38">
        <f>13.664929*(1/K18)</f>
        <v>95.558944055944067</v>
      </c>
      <c r="Z18" s="37">
        <f>W18/13.664929</f>
        <v>1.1614401858304297</v>
      </c>
      <c r="AA18" s="37">
        <f>X18/13.664929</f>
        <v>3.0395136778115499</v>
      </c>
      <c r="AB18" s="37">
        <f>Y18/13.664929</f>
        <v>6.9930069930069934</v>
      </c>
      <c r="AC18" s="44">
        <f>100*(Z18-1)</f>
        <v>16.144018583042975</v>
      </c>
      <c r="AD18" s="37">
        <f>100*(AA18-1)</f>
        <v>203.951367781155</v>
      </c>
      <c r="AE18" s="38">
        <f>100*(AB18-1)</f>
        <v>599.30069930069931</v>
      </c>
      <c r="AF18" s="44">
        <f>Z18/1</f>
        <v>1.1614401858304297</v>
      </c>
      <c r="AG18" s="37">
        <f>AA18/2.457002457</f>
        <v>1.2370820668705378</v>
      </c>
      <c r="AH18" s="38">
        <f>AB18/4.545454545</f>
        <v>1.5384615386153846</v>
      </c>
      <c r="AI18" s="37">
        <f t="shared" si="5"/>
        <v>16.144018583042975</v>
      </c>
      <c r="AJ18" s="37">
        <f t="shared" si="2"/>
        <v>23.708206687053778</v>
      </c>
      <c r="AK18" s="38">
        <f t="shared" si="2"/>
        <v>53.846153861538461</v>
      </c>
      <c r="AL18" s="50">
        <v>0.86099999999999999</v>
      </c>
      <c r="AM18" s="51">
        <v>0.32900000000000001</v>
      </c>
      <c r="AN18" s="51">
        <v>0.14299999999999999</v>
      </c>
      <c r="AO18" s="50">
        <f t="shared" si="6"/>
        <v>13.900000000000002</v>
      </c>
      <c r="AP18" s="51">
        <f t="shared" si="3"/>
        <v>67.100000000000009</v>
      </c>
      <c r="AQ18" s="54">
        <f t="shared" si="3"/>
        <v>85.7</v>
      </c>
      <c r="AR18" s="51">
        <v>0.86099999999999999</v>
      </c>
      <c r="AS18" s="51">
        <f>AM18/0.407</f>
        <v>0.80835380835380843</v>
      </c>
      <c r="AT18" s="54">
        <f t="shared" si="7"/>
        <v>0.64999999999999991</v>
      </c>
      <c r="AU18" s="44">
        <f t="shared" si="8"/>
        <v>13.900000000000002</v>
      </c>
      <c r="AV18" s="37">
        <f t="shared" si="4"/>
        <v>19.164619164619157</v>
      </c>
      <c r="AW18" s="38">
        <f t="shared" si="4"/>
        <v>35.000000000000007</v>
      </c>
    </row>
    <row r="19" spans="1:49" ht="15">
      <c r="A19" s="6" t="s">
        <v>31</v>
      </c>
      <c r="B19" s="5" t="s">
        <v>32</v>
      </c>
      <c r="C19" s="8">
        <v>0.83799999999999997</v>
      </c>
      <c r="D19" s="8">
        <v>0.318</v>
      </c>
      <c r="E19" s="8">
        <v>0.14000000000000001</v>
      </c>
      <c r="G19" s="20" t="s">
        <v>31</v>
      </c>
      <c r="H19" s="5" t="s">
        <v>32</v>
      </c>
      <c r="I19" s="8">
        <v>0.83799999999999997</v>
      </c>
      <c r="J19" s="9">
        <v>0.32300000000000001</v>
      </c>
      <c r="K19" s="21">
        <v>0.14000000000000001</v>
      </c>
      <c r="L19" s="8"/>
      <c r="M19" s="6" t="s">
        <v>31</v>
      </c>
      <c r="N19" s="5" t="s">
        <v>32</v>
      </c>
      <c r="O19" s="8">
        <v>0.83799999999999997</v>
      </c>
      <c r="P19" s="9">
        <f t="shared" si="0"/>
        <v>0.79361179361179368</v>
      </c>
      <c r="Q19" s="8">
        <f t="shared" si="1"/>
        <v>0.63636363636363646</v>
      </c>
      <c r="R19" s="8"/>
      <c r="S19" s="35">
        <v>0</v>
      </c>
      <c r="T19" s="36">
        <v>20</v>
      </c>
      <c r="U19" s="62">
        <v>10</v>
      </c>
      <c r="V19" s="57" t="s">
        <v>32</v>
      </c>
      <c r="W19" s="44">
        <f>13.664929*(1/I19)</f>
        <v>16.306597852028641</v>
      </c>
      <c r="X19" s="37">
        <f>13.664929*(1/J19)</f>
        <v>42.306281733746133</v>
      </c>
      <c r="Y19" s="38">
        <f>13.664929*(1/K19)</f>
        <v>97.606635714285716</v>
      </c>
      <c r="Z19" s="37">
        <f>W19/13.664929</f>
        <v>1.1933174224343677</v>
      </c>
      <c r="AA19" s="37">
        <f>X19/13.664929</f>
        <v>3.0959752321981426</v>
      </c>
      <c r="AB19" s="37">
        <f>Y19/13.664929</f>
        <v>7.1428571428571423</v>
      </c>
      <c r="AC19" s="44">
        <f>100*(Z19-1)</f>
        <v>19.331742243436768</v>
      </c>
      <c r="AD19" s="37">
        <f>100*(AA19-1)</f>
        <v>209.59752321981426</v>
      </c>
      <c r="AE19" s="38">
        <f>100*(AB19-1)</f>
        <v>614.28571428571422</v>
      </c>
      <c r="AF19" s="44">
        <f>Z19/1</f>
        <v>1.1933174224343677</v>
      </c>
      <c r="AG19" s="37">
        <f>AA19/2.457002457</f>
        <v>1.260061919505904</v>
      </c>
      <c r="AH19" s="38">
        <f>AB19/4.545454545</f>
        <v>1.5714285715857141</v>
      </c>
      <c r="AI19" s="37">
        <f t="shared" si="5"/>
        <v>19.331742243436768</v>
      </c>
      <c r="AJ19" s="37">
        <f t="shared" si="2"/>
        <v>26.006191950590395</v>
      </c>
      <c r="AK19" s="38">
        <f t="shared" si="2"/>
        <v>57.142857158571417</v>
      </c>
      <c r="AL19" s="50">
        <v>0.83799999999999997</v>
      </c>
      <c r="AM19" s="51">
        <v>0.32300000000000001</v>
      </c>
      <c r="AN19" s="51">
        <v>0.14000000000000001</v>
      </c>
      <c r="AO19" s="50">
        <f t="shared" si="6"/>
        <v>16.200000000000003</v>
      </c>
      <c r="AP19" s="51">
        <f t="shared" si="3"/>
        <v>67.7</v>
      </c>
      <c r="AQ19" s="54">
        <f t="shared" si="3"/>
        <v>86</v>
      </c>
      <c r="AR19" s="51">
        <v>0.83799999999999997</v>
      </c>
      <c r="AS19" s="51">
        <f>AM19/0.407</f>
        <v>0.79361179361179368</v>
      </c>
      <c r="AT19" s="54">
        <f t="shared" si="7"/>
        <v>0.63636363636363646</v>
      </c>
      <c r="AU19" s="44">
        <f t="shared" si="8"/>
        <v>16.200000000000003</v>
      </c>
      <c r="AV19" s="37">
        <f t="shared" si="4"/>
        <v>20.638820638820633</v>
      </c>
      <c r="AW19" s="38">
        <f t="shared" si="4"/>
        <v>36.363636363636353</v>
      </c>
    </row>
    <row r="20" spans="1:49" ht="15">
      <c r="A20" s="6" t="s">
        <v>45</v>
      </c>
      <c r="B20" s="5" t="s">
        <v>34</v>
      </c>
      <c r="C20" s="8">
        <v>0.82299999999999995</v>
      </c>
      <c r="D20" s="8">
        <v>0.32100000000000001</v>
      </c>
      <c r="E20" s="8">
        <v>0.13800000000000001</v>
      </c>
      <c r="G20" s="20" t="s">
        <v>45</v>
      </c>
      <c r="H20" s="5" t="s">
        <v>34</v>
      </c>
      <c r="I20" s="8">
        <v>0.82299999999999995</v>
      </c>
      <c r="J20" s="8">
        <v>0.32100000000000001</v>
      </c>
      <c r="K20" s="21">
        <v>0.13800000000000001</v>
      </c>
      <c r="L20" s="8"/>
      <c r="M20" s="6" t="s">
        <v>45</v>
      </c>
      <c r="N20" s="5" t="s">
        <v>34</v>
      </c>
      <c r="O20" s="8">
        <v>0.82299999999999995</v>
      </c>
      <c r="P20" s="8">
        <f t="shared" si="0"/>
        <v>0.78869778869778873</v>
      </c>
      <c r="Q20" s="8">
        <f t="shared" si="1"/>
        <v>0.62727272727272732</v>
      </c>
      <c r="R20" s="8"/>
      <c r="S20" s="35">
        <v>10</v>
      </c>
      <c r="T20" s="36">
        <v>0</v>
      </c>
      <c r="U20" s="62">
        <v>20</v>
      </c>
      <c r="V20" s="57" t="s">
        <v>33</v>
      </c>
      <c r="W20" s="44">
        <f>13.664929*(1/I20)</f>
        <v>16.603801944106927</v>
      </c>
      <c r="X20" s="37">
        <f>13.664929*(1/J20)</f>
        <v>42.5698722741433</v>
      </c>
      <c r="Y20" s="38">
        <f>13.664929*(1/K20)</f>
        <v>99.021224637681158</v>
      </c>
      <c r="Z20" s="37">
        <f>W20/13.664929</f>
        <v>1.2150668286755772</v>
      </c>
      <c r="AA20" s="37">
        <f>X20/13.664929</f>
        <v>3.1152647975077881</v>
      </c>
      <c r="AB20" s="37">
        <f>Y20/13.664929</f>
        <v>7.2463768115942022</v>
      </c>
      <c r="AC20" s="44">
        <f>100*(Z20-1)</f>
        <v>21.506682867557725</v>
      </c>
      <c r="AD20" s="37">
        <f>100*(AA20-1)</f>
        <v>211.5264797507788</v>
      </c>
      <c r="AE20" s="38">
        <f>100*(AB20-1)</f>
        <v>624.63768115942025</v>
      </c>
      <c r="AF20" s="44">
        <f>Z20/1</f>
        <v>1.2150668286755772</v>
      </c>
      <c r="AG20" s="37">
        <f>AA20/2.457002457</f>
        <v>1.2679127725869375</v>
      </c>
      <c r="AH20" s="38">
        <f>AB20/4.545454545</f>
        <v>1.5942028987101446</v>
      </c>
      <c r="AI20" s="37">
        <f t="shared" si="5"/>
        <v>21.506682867557725</v>
      </c>
      <c r="AJ20" s="37">
        <f t="shared" si="2"/>
        <v>26.791277258693746</v>
      </c>
      <c r="AK20" s="38">
        <f t="shared" si="2"/>
        <v>59.420289871014461</v>
      </c>
      <c r="AL20" s="50">
        <v>0.82299999999999995</v>
      </c>
      <c r="AM20" s="51">
        <v>0.32100000000000001</v>
      </c>
      <c r="AN20" s="51">
        <v>0.13800000000000001</v>
      </c>
      <c r="AO20" s="50">
        <f t="shared" si="6"/>
        <v>17.700000000000003</v>
      </c>
      <c r="AP20" s="51">
        <f t="shared" si="3"/>
        <v>67.900000000000006</v>
      </c>
      <c r="AQ20" s="54">
        <f t="shared" si="3"/>
        <v>86.2</v>
      </c>
      <c r="AR20" s="51">
        <v>0.82299999999999995</v>
      </c>
      <c r="AS20" s="51">
        <f>AM20/0.407</f>
        <v>0.78869778869778873</v>
      </c>
      <c r="AT20" s="54">
        <f t="shared" si="7"/>
        <v>0.62727272727272732</v>
      </c>
      <c r="AU20" s="44">
        <f t="shared" si="8"/>
        <v>17.700000000000003</v>
      </c>
      <c r="AV20" s="37">
        <f t="shared" si="4"/>
        <v>21.130221130221127</v>
      </c>
      <c r="AW20" s="38">
        <f t="shared" si="4"/>
        <v>37.272727272727266</v>
      </c>
    </row>
    <row r="21" spans="1:49" ht="15">
      <c r="A21" s="6" t="s">
        <v>13</v>
      </c>
      <c r="B21" s="5" t="s">
        <v>14</v>
      </c>
      <c r="C21" s="8">
        <v>0.81100000000000005</v>
      </c>
      <c r="D21" s="8">
        <v>0.183</v>
      </c>
      <c r="E21" s="8">
        <v>0.14199999999999999</v>
      </c>
      <c r="G21" s="20" t="s">
        <v>13</v>
      </c>
      <c r="H21" s="5" t="s">
        <v>14</v>
      </c>
      <c r="I21" s="8">
        <v>0.81100000000000005</v>
      </c>
      <c r="J21" s="9">
        <v>0.29499999999999998</v>
      </c>
      <c r="K21" s="22">
        <v>0.13500000000000001</v>
      </c>
      <c r="L21" s="9"/>
      <c r="M21" s="6" t="s">
        <v>13</v>
      </c>
      <c r="N21" s="5" t="s">
        <v>14</v>
      </c>
      <c r="O21" s="8">
        <v>0.81100000000000005</v>
      </c>
      <c r="P21" s="9">
        <f t="shared" si="0"/>
        <v>0.72481572481572487</v>
      </c>
      <c r="Q21" s="9">
        <f t="shared" si="1"/>
        <v>0.61363636363636365</v>
      </c>
      <c r="R21" s="9"/>
      <c r="S21" s="35">
        <v>0</v>
      </c>
      <c r="T21" s="36">
        <v>15</v>
      </c>
      <c r="U21" s="62">
        <v>15</v>
      </c>
      <c r="V21" s="57" t="s">
        <v>34</v>
      </c>
      <c r="W21" s="44">
        <f>13.664929*(1/I21)</f>
        <v>16.849480887792847</v>
      </c>
      <c r="X21" s="37">
        <f>13.664929*(1/J21)</f>
        <v>46.321793220338989</v>
      </c>
      <c r="Y21" s="38">
        <f>13.664929*(1/K21)</f>
        <v>101.22169629629629</v>
      </c>
      <c r="Z21" s="37">
        <f>W21/13.664929</f>
        <v>1.2330456226880393</v>
      </c>
      <c r="AA21" s="37">
        <f>X21/13.664929</f>
        <v>3.3898305084745766</v>
      </c>
      <c r="AB21" s="37">
        <f>Y21/13.664929</f>
        <v>7.4074074074074066</v>
      </c>
      <c r="AC21" s="44">
        <f>100*(Z21-1)</f>
        <v>23.304562268803931</v>
      </c>
      <c r="AD21" s="37">
        <f>100*(AA21-1)</f>
        <v>238.98305084745766</v>
      </c>
      <c r="AE21" s="38">
        <f>100*(AB21-1)</f>
        <v>640.74074074074065</v>
      </c>
      <c r="AF21" s="44">
        <f>Z21/1</f>
        <v>1.2330456226880393</v>
      </c>
      <c r="AG21" s="37">
        <f>AA21/2.457002457</f>
        <v>1.3796610169505321</v>
      </c>
      <c r="AH21" s="38">
        <f>AB21/4.545454545</f>
        <v>1.6296296297925923</v>
      </c>
      <c r="AI21" s="37">
        <f>100*(AF21-1)</f>
        <v>23.304562268803931</v>
      </c>
      <c r="AJ21" s="37">
        <f t="shared" ref="AJ21:AK25" si="9">100*(AG21-1)</f>
        <v>37.966101695053212</v>
      </c>
      <c r="AK21" s="38">
        <f t="shared" si="9"/>
        <v>62.962962979259231</v>
      </c>
      <c r="AL21" s="50">
        <v>0.81100000000000005</v>
      </c>
      <c r="AM21" s="51">
        <v>0.29499999999999998</v>
      </c>
      <c r="AN21" s="51">
        <v>0.13500000000000001</v>
      </c>
      <c r="AO21" s="50">
        <f t="shared" si="6"/>
        <v>18.899999999999995</v>
      </c>
      <c r="AP21" s="51">
        <f t="shared" ref="AP21:AP25" si="10">100*(1-AM21)</f>
        <v>70.5</v>
      </c>
      <c r="AQ21" s="54">
        <f t="shared" ref="AQ21:AQ25" si="11">100*(1-AN21)</f>
        <v>86.5</v>
      </c>
      <c r="AR21" s="51">
        <v>0.81100000000000005</v>
      </c>
      <c r="AS21" s="51">
        <f>AM21/0.407</f>
        <v>0.72481572481572487</v>
      </c>
      <c r="AT21" s="54">
        <f t="shared" si="7"/>
        <v>0.61363636363636365</v>
      </c>
      <c r="AU21" s="44">
        <f t="shared" si="8"/>
        <v>18.899999999999995</v>
      </c>
      <c r="AV21" s="37">
        <f t="shared" ref="AV21:AV25" si="12">100*(1-AS21)</f>
        <v>27.518427518427512</v>
      </c>
      <c r="AW21" s="38">
        <f t="shared" ref="AW21:AW25" si="13">100*(1-AT21)</f>
        <v>38.636363636363633</v>
      </c>
    </row>
    <row r="22" spans="1:49" ht="15">
      <c r="A22" s="6" t="s">
        <v>46</v>
      </c>
      <c r="B22" s="5" t="s">
        <v>36</v>
      </c>
      <c r="C22" s="8">
        <v>0.78700000000000003</v>
      </c>
      <c r="D22" s="8">
        <v>0.17899999999999999</v>
      </c>
      <c r="E22" s="8">
        <v>0.111</v>
      </c>
      <c r="G22" s="20" t="s">
        <v>46</v>
      </c>
      <c r="H22" s="5" t="s">
        <v>36</v>
      </c>
      <c r="I22" s="8">
        <v>0.78700000000000003</v>
      </c>
      <c r="J22" s="9">
        <v>0.26200000000000001</v>
      </c>
      <c r="K22" s="22">
        <v>0.13300000000000001</v>
      </c>
      <c r="L22" s="9"/>
      <c r="M22" s="6" t="s">
        <v>46</v>
      </c>
      <c r="N22" s="5" t="s">
        <v>36</v>
      </c>
      <c r="O22" s="8">
        <v>0.78700000000000003</v>
      </c>
      <c r="P22" s="9">
        <f t="shared" si="0"/>
        <v>0.64373464373464384</v>
      </c>
      <c r="Q22" s="9">
        <f t="shared" si="1"/>
        <v>0.60454545454545461</v>
      </c>
      <c r="R22" s="9"/>
      <c r="S22" s="35">
        <v>0</v>
      </c>
      <c r="T22" s="36">
        <v>10</v>
      </c>
      <c r="U22" s="62">
        <v>20</v>
      </c>
      <c r="V22" s="57" t="s">
        <v>35</v>
      </c>
      <c r="W22" s="44">
        <f>13.664929*(1/I22)</f>
        <v>17.363315120711565</v>
      </c>
      <c r="X22" s="37">
        <f>13.664929*(1/J22)</f>
        <v>52.156217557251907</v>
      </c>
      <c r="Y22" s="38">
        <f>13.664929*(1/K22)</f>
        <v>102.74382706766917</v>
      </c>
      <c r="Z22" s="37">
        <f>W22/13.664929</f>
        <v>1.2706480304955527</v>
      </c>
      <c r="AA22" s="37">
        <f>X22/13.664929</f>
        <v>3.8167938931297707</v>
      </c>
      <c r="AB22" s="37">
        <f>Y22/13.664929</f>
        <v>7.5187969924812021</v>
      </c>
      <c r="AC22" s="44">
        <f>100*(Z22-1)</f>
        <v>27.064803049555273</v>
      </c>
      <c r="AD22" s="37">
        <f>100*(AA22-1)</f>
        <v>281.67938931297709</v>
      </c>
      <c r="AE22" s="38">
        <f>100*(AB22-1)</f>
        <v>651.87969924812023</v>
      </c>
      <c r="AF22" s="44">
        <f>Z22/1</f>
        <v>1.2706480304955527</v>
      </c>
      <c r="AG22" s="37">
        <f>AA22/2.457002457</f>
        <v>1.55343511450537</v>
      </c>
      <c r="AH22" s="38">
        <f>AB22/4.545454545</f>
        <v>1.654135338511278</v>
      </c>
      <c r="AI22" s="37">
        <f t="shared" si="5"/>
        <v>27.064803049555273</v>
      </c>
      <c r="AJ22" s="37">
        <f t="shared" si="9"/>
        <v>55.343511450536994</v>
      </c>
      <c r="AK22" s="38">
        <f t="shared" si="9"/>
        <v>65.413533851127809</v>
      </c>
      <c r="AL22" s="50">
        <v>0.78700000000000003</v>
      </c>
      <c r="AM22" s="51">
        <v>0.26200000000000001</v>
      </c>
      <c r="AN22" s="51">
        <v>0.13300000000000001</v>
      </c>
      <c r="AO22" s="50">
        <f t="shared" si="6"/>
        <v>21.299999999999997</v>
      </c>
      <c r="AP22" s="51">
        <f t="shared" si="10"/>
        <v>73.8</v>
      </c>
      <c r="AQ22" s="54">
        <f t="shared" si="11"/>
        <v>86.7</v>
      </c>
      <c r="AR22" s="51">
        <v>0.78700000000000003</v>
      </c>
      <c r="AS22" s="51">
        <f>AM22/0.407</f>
        <v>0.64373464373464384</v>
      </c>
      <c r="AT22" s="54">
        <f t="shared" si="7"/>
        <v>0.60454545454545461</v>
      </c>
      <c r="AU22" s="44">
        <f t="shared" si="8"/>
        <v>21.299999999999997</v>
      </c>
      <c r="AV22" s="37">
        <f t="shared" si="12"/>
        <v>35.626535626535613</v>
      </c>
      <c r="AW22" s="38">
        <f t="shared" si="13"/>
        <v>39.54545454545454</v>
      </c>
    </row>
    <row r="23" spans="1:49" ht="15">
      <c r="A23" s="6" t="s">
        <v>47</v>
      </c>
      <c r="B23" s="5" t="s">
        <v>33</v>
      </c>
      <c r="C23" s="8">
        <v>0.77800000000000002</v>
      </c>
      <c r="D23" s="8">
        <v>0.251</v>
      </c>
      <c r="E23" s="8">
        <v>0.129</v>
      </c>
      <c r="G23" s="20" t="s">
        <v>47</v>
      </c>
      <c r="H23" s="5" t="s">
        <v>33</v>
      </c>
      <c r="I23" s="8">
        <v>0.77800000000000002</v>
      </c>
      <c r="J23" s="8">
        <v>0.251</v>
      </c>
      <c r="K23" s="21">
        <v>0.129</v>
      </c>
      <c r="L23" s="8"/>
      <c r="M23" s="6" t="s">
        <v>47</v>
      </c>
      <c r="N23" s="5" t="s">
        <v>33</v>
      </c>
      <c r="O23" s="8">
        <v>0.77800000000000002</v>
      </c>
      <c r="P23" s="8">
        <f t="shared" si="0"/>
        <v>0.61670761670761676</v>
      </c>
      <c r="Q23" s="8">
        <f t="shared" si="1"/>
        <v>0.58636363636363642</v>
      </c>
      <c r="R23" s="8"/>
      <c r="S23" s="35">
        <v>5</v>
      </c>
      <c r="T23" s="36">
        <v>0</v>
      </c>
      <c r="U23" s="62">
        <v>25</v>
      </c>
      <c r="V23" s="57" t="s">
        <v>36</v>
      </c>
      <c r="W23" s="44">
        <f>13.664929*(1/I23)</f>
        <v>17.56417609254499</v>
      </c>
      <c r="X23" s="37">
        <f>13.664929*(1/J23)</f>
        <v>54.441948207171315</v>
      </c>
      <c r="Y23" s="38">
        <f>13.664929*(1/K23)</f>
        <v>105.92968217054263</v>
      </c>
      <c r="Z23" s="37">
        <f>W23/13.664929</f>
        <v>1.2853470437017995</v>
      </c>
      <c r="AA23" s="37">
        <f>X23/13.664929</f>
        <v>3.9840637450199199</v>
      </c>
      <c r="AB23" s="37">
        <f>Y23/13.664929</f>
        <v>7.7519379844961236</v>
      </c>
      <c r="AC23" s="44">
        <f>100*(Z23-1)</f>
        <v>28.534704370179952</v>
      </c>
      <c r="AD23" s="37">
        <f>100*(AA23-1)</f>
        <v>298.40637450199199</v>
      </c>
      <c r="AE23" s="38">
        <f>100*(AB23-1)</f>
        <v>675.19379844961236</v>
      </c>
      <c r="AF23" s="44">
        <f>Z23/1</f>
        <v>1.2853470437017995</v>
      </c>
      <c r="AG23" s="37">
        <f>AA23/2.457002457</f>
        <v>1.6215139442247288</v>
      </c>
      <c r="AH23" s="38">
        <f>AB23/4.545454545</f>
        <v>1.7054263567596897</v>
      </c>
      <c r="AI23" s="37">
        <f t="shared" si="5"/>
        <v>28.534704370179952</v>
      </c>
      <c r="AJ23" s="37">
        <f t="shared" si="9"/>
        <v>62.151394422472883</v>
      </c>
      <c r="AK23" s="38">
        <f t="shared" si="9"/>
        <v>70.542635675968967</v>
      </c>
      <c r="AL23" s="50">
        <v>0.77800000000000002</v>
      </c>
      <c r="AM23" s="51">
        <v>0.251</v>
      </c>
      <c r="AN23" s="51">
        <v>0.129</v>
      </c>
      <c r="AO23" s="50">
        <f t="shared" si="6"/>
        <v>22.199999999999996</v>
      </c>
      <c r="AP23" s="51">
        <f t="shared" si="10"/>
        <v>74.900000000000006</v>
      </c>
      <c r="AQ23" s="54">
        <f t="shared" si="11"/>
        <v>87.1</v>
      </c>
      <c r="AR23" s="51">
        <v>0.77800000000000002</v>
      </c>
      <c r="AS23" s="51">
        <f>AM23/0.407</f>
        <v>0.61670761670761676</v>
      </c>
      <c r="AT23" s="54">
        <f t="shared" si="7"/>
        <v>0.58636363636363642</v>
      </c>
      <c r="AU23" s="44">
        <f t="shared" si="8"/>
        <v>22.199999999999996</v>
      </c>
      <c r="AV23" s="37">
        <f t="shared" si="12"/>
        <v>38.329238329238322</v>
      </c>
      <c r="AW23" s="38">
        <f t="shared" si="13"/>
        <v>41.36363636363636</v>
      </c>
    </row>
    <row r="24" spans="1:49" ht="15">
      <c r="A24" s="6" t="s">
        <v>48</v>
      </c>
      <c r="B24" s="5" t="s">
        <v>35</v>
      </c>
      <c r="C24" s="8">
        <v>0.76400000000000001</v>
      </c>
      <c r="D24" s="8">
        <v>0.246</v>
      </c>
      <c r="E24" s="8">
        <v>0.13300000000000001</v>
      </c>
      <c r="G24" s="20" t="s">
        <v>48</v>
      </c>
      <c r="H24" s="5" t="s">
        <v>35</v>
      </c>
      <c r="I24" s="8">
        <v>0.76400000000000001</v>
      </c>
      <c r="J24" s="8">
        <v>0.246</v>
      </c>
      <c r="K24" s="22">
        <v>0.128</v>
      </c>
      <c r="L24" s="9"/>
      <c r="M24" s="6" t="s">
        <v>48</v>
      </c>
      <c r="N24" s="5" t="s">
        <v>35</v>
      </c>
      <c r="O24" s="8">
        <v>0.76400000000000001</v>
      </c>
      <c r="P24" s="8">
        <f t="shared" si="0"/>
        <v>0.60442260442260443</v>
      </c>
      <c r="Q24" s="9">
        <f t="shared" si="1"/>
        <v>0.58181818181818179</v>
      </c>
      <c r="R24" s="9"/>
      <c r="S24" s="35">
        <v>0</v>
      </c>
      <c r="T24" s="36">
        <v>5</v>
      </c>
      <c r="U24" s="62">
        <v>25</v>
      </c>
      <c r="V24" s="57" t="s">
        <v>37</v>
      </c>
      <c r="W24" s="44">
        <f>13.664929*(1/I24)</f>
        <v>17.88603272251309</v>
      </c>
      <c r="X24" s="37">
        <f>13.664929*(1/J24)</f>
        <v>55.548491869918706</v>
      </c>
      <c r="Y24" s="38">
        <f>13.664929*(1/K24)</f>
        <v>106.7572578125</v>
      </c>
      <c r="Z24" s="37">
        <f>W24/13.664929</f>
        <v>1.3089005235602094</v>
      </c>
      <c r="AA24" s="37">
        <f>X24/13.664929</f>
        <v>4.0650406504065044</v>
      </c>
      <c r="AB24" s="37">
        <f>Y24/13.664929</f>
        <v>7.8125</v>
      </c>
      <c r="AC24" s="44">
        <f>100*(Z24-1)</f>
        <v>30.890052356020938</v>
      </c>
      <c r="AD24" s="37">
        <f>100*(AA24-1)</f>
        <v>306.50406504065046</v>
      </c>
      <c r="AE24" s="38">
        <f>100*(AB24-1)</f>
        <v>681.25</v>
      </c>
      <c r="AF24" s="44">
        <f>Z24/1</f>
        <v>1.3089005235602094</v>
      </c>
      <c r="AG24" s="37">
        <f>AA24/2.457002457</f>
        <v>1.6544715447171017</v>
      </c>
      <c r="AH24" s="38">
        <f>AB24/4.545454545</f>
        <v>1.718750000171875</v>
      </c>
      <c r="AI24" s="37">
        <f t="shared" si="5"/>
        <v>30.890052356020938</v>
      </c>
      <c r="AJ24" s="37">
        <f t="shared" si="9"/>
        <v>65.447154471710164</v>
      </c>
      <c r="AK24" s="38">
        <f t="shared" si="9"/>
        <v>71.875000017187489</v>
      </c>
      <c r="AL24" s="50">
        <v>0.76400000000000001</v>
      </c>
      <c r="AM24" s="51">
        <v>0.246</v>
      </c>
      <c r="AN24" s="51">
        <v>0.128</v>
      </c>
      <c r="AO24" s="50">
        <f t="shared" si="6"/>
        <v>23.599999999999998</v>
      </c>
      <c r="AP24" s="51">
        <f t="shared" si="10"/>
        <v>75.400000000000006</v>
      </c>
      <c r="AQ24" s="54">
        <f t="shared" si="11"/>
        <v>87.2</v>
      </c>
      <c r="AR24" s="51">
        <v>0.76400000000000001</v>
      </c>
      <c r="AS24" s="51">
        <f>AM24/0.407</f>
        <v>0.60442260442260443</v>
      </c>
      <c r="AT24" s="54">
        <f t="shared" si="7"/>
        <v>0.58181818181818179</v>
      </c>
      <c r="AU24" s="44">
        <f t="shared" si="8"/>
        <v>23.599999999999998</v>
      </c>
      <c r="AV24" s="37">
        <f t="shared" si="12"/>
        <v>39.557739557739559</v>
      </c>
      <c r="AW24" s="38">
        <f t="shared" si="13"/>
        <v>41.81818181818182</v>
      </c>
    </row>
    <row r="25" spans="1:49" ht="16" thickBot="1">
      <c r="A25" s="6" t="s">
        <v>7</v>
      </c>
      <c r="B25" s="5" t="s">
        <v>8</v>
      </c>
      <c r="C25" s="8">
        <v>0.746</v>
      </c>
      <c r="D25" s="8">
        <v>0.27900000000000003</v>
      </c>
      <c r="E25" s="8">
        <v>0.126</v>
      </c>
      <c r="G25" s="23" t="s">
        <v>7</v>
      </c>
      <c r="H25" s="24" t="s">
        <v>8</v>
      </c>
      <c r="I25" s="25">
        <v>0.746</v>
      </c>
      <c r="J25" s="26">
        <v>0.23899999999999999</v>
      </c>
      <c r="K25" s="27">
        <v>0.126</v>
      </c>
      <c r="L25" s="8"/>
      <c r="M25" s="6" t="s">
        <v>7</v>
      </c>
      <c r="N25" s="5" t="s">
        <v>8</v>
      </c>
      <c r="O25" s="8">
        <v>0.746</v>
      </c>
      <c r="P25" s="9">
        <f t="shared" si="0"/>
        <v>0.58722358722358725</v>
      </c>
      <c r="Q25" s="8">
        <f t="shared" si="1"/>
        <v>0.57272727272727275</v>
      </c>
      <c r="R25" s="8"/>
      <c r="S25" s="39">
        <v>0</v>
      </c>
      <c r="T25" s="40">
        <v>0</v>
      </c>
      <c r="U25" s="63">
        <v>30</v>
      </c>
      <c r="V25" s="58" t="s">
        <v>38</v>
      </c>
      <c r="W25" s="45">
        <f>13.664929*(1/I25)</f>
        <v>18.317599195710457</v>
      </c>
      <c r="X25" s="41">
        <f>13.664929*(1/J25)</f>
        <v>57.175435146443519</v>
      </c>
      <c r="Y25" s="42">
        <f>13.664929*(1/K25)</f>
        <v>108.45181746031747</v>
      </c>
      <c r="Z25" s="41">
        <f>W25/13.664929</f>
        <v>1.3404825737265416</v>
      </c>
      <c r="AA25" s="41">
        <f>X25/13.664929</f>
        <v>4.1841004184100417</v>
      </c>
      <c r="AB25" s="41">
        <f>Y25/13.664929</f>
        <v>7.9365079365079367</v>
      </c>
      <c r="AC25" s="45">
        <f t="shared" ref="AC25:AE25" si="14">100*(Z25-1)</f>
        <v>34.048257372654156</v>
      </c>
      <c r="AD25" s="41">
        <f t="shared" si="14"/>
        <v>318.41004184100416</v>
      </c>
      <c r="AE25" s="42">
        <f t="shared" si="14"/>
        <v>693.65079365079373</v>
      </c>
      <c r="AF25" s="45">
        <f>Z25/1</f>
        <v>1.3404825737265416</v>
      </c>
      <c r="AG25" s="41">
        <f>AA25/2.457002457</f>
        <v>1.7029288702945897</v>
      </c>
      <c r="AH25" s="42">
        <f>AB25/4.545454545</f>
        <v>1.7460317462063493</v>
      </c>
      <c r="AI25" s="41">
        <f t="shared" si="5"/>
        <v>34.048257372654156</v>
      </c>
      <c r="AJ25" s="41">
        <f t="shared" si="9"/>
        <v>70.292887029458967</v>
      </c>
      <c r="AK25" s="42">
        <f t="shared" si="9"/>
        <v>74.603174620634931</v>
      </c>
      <c r="AL25" s="52">
        <v>0.746</v>
      </c>
      <c r="AM25" s="53">
        <v>0.23899999999999999</v>
      </c>
      <c r="AN25" s="53">
        <v>0.126</v>
      </c>
      <c r="AO25" s="52">
        <f t="shared" si="6"/>
        <v>25.4</v>
      </c>
      <c r="AP25" s="53">
        <f t="shared" si="10"/>
        <v>76.099999999999994</v>
      </c>
      <c r="AQ25" s="55">
        <f t="shared" si="11"/>
        <v>87.4</v>
      </c>
      <c r="AR25" s="53">
        <v>0.746</v>
      </c>
      <c r="AS25" s="53">
        <f>AM25/0.407</f>
        <v>0.58722358722358725</v>
      </c>
      <c r="AT25" s="55">
        <f t="shared" si="7"/>
        <v>0.57272727272727275</v>
      </c>
      <c r="AU25" s="45">
        <f t="shared" si="8"/>
        <v>25.4</v>
      </c>
      <c r="AV25" s="41">
        <f t="shared" si="12"/>
        <v>41.277641277641273</v>
      </c>
      <c r="AW25" s="42">
        <f t="shared" si="13"/>
        <v>42.727272727272727</v>
      </c>
    </row>
    <row r="29" spans="1:49" ht="15.75" customHeight="1">
      <c r="A29" s="6"/>
      <c r="B29" s="5"/>
      <c r="C29" s="7"/>
      <c r="D29" s="7"/>
      <c r="E29" s="7"/>
      <c r="G29" s="5"/>
      <c r="H29" s="5"/>
      <c r="I29" s="5"/>
      <c r="J29" s="5"/>
      <c r="K29" s="5"/>
      <c r="L29" s="5"/>
      <c r="M29" s="5"/>
    </row>
    <row r="30" spans="1:49" ht="15.75" customHeight="1">
      <c r="A30" s="6"/>
      <c r="B30" s="5"/>
      <c r="C30" s="7"/>
      <c r="D30" s="7"/>
      <c r="E30" s="7"/>
      <c r="G30" s="6"/>
      <c r="H30" s="5"/>
      <c r="I30" s="7"/>
      <c r="J30" s="7"/>
      <c r="K30" s="7"/>
      <c r="L30" s="7"/>
      <c r="M30" s="7"/>
    </row>
    <row r="31" spans="1:49" ht="15.75" customHeight="1">
      <c r="A31" s="6"/>
      <c r="B31" s="5"/>
      <c r="C31" s="7"/>
      <c r="D31" s="7"/>
      <c r="E31" s="7"/>
      <c r="G31" s="10"/>
      <c r="H31" s="11"/>
      <c r="I31" s="11"/>
    </row>
    <row r="32" spans="1:49" ht="15.75" customHeight="1">
      <c r="A32" s="6"/>
      <c r="B32" s="5"/>
      <c r="C32" s="7"/>
      <c r="D32" s="7"/>
      <c r="E32" s="7"/>
      <c r="G32" s="10"/>
      <c r="H32" s="11"/>
      <c r="I32" s="11"/>
    </row>
    <row r="33" spans="1:9" ht="15.75" customHeight="1">
      <c r="A33" s="6"/>
      <c r="B33" s="5"/>
      <c r="C33" s="7"/>
      <c r="D33" s="7"/>
      <c r="E33" s="7"/>
      <c r="G33" s="10"/>
      <c r="H33" s="11"/>
      <c r="I33" s="11"/>
    </row>
    <row r="34" spans="1:9" ht="15.75" customHeight="1">
      <c r="A34" s="6"/>
      <c r="B34" s="5"/>
      <c r="C34" s="7"/>
      <c r="D34" s="7"/>
      <c r="E34" s="7"/>
      <c r="G34" s="10"/>
      <c r="H34" s="11"/>
      <c r="I34" s="11"/>
    </row>
    <row r="35" spans="1:9" ht="15.75" customHeight="1">
      <c r="A35" s="6"/>
      <c r="B35" s="5"/>
      <c r="C35" s="7"/>
      <c r="D35" s="7"/>
      <c r="E35" s="7"/>
      <c r="G35" s="10"/>
      <c r="H35" s="12"/>
      <c r="I35" s="11"/>
    </row>
    <row r="36" spans="1:9" ht="15.75" customHeight="1">
      <c r="A36" s="6"/>
      <c r="B36" s="5"/>
      <c r="C36" s="7"/>
      <c r="D36" s="7"/>
      <c r="E36" s="7"/>
      <c r="G36" s="10"/>
      <c r="H36" s="11"/>
      <c r="I36" s="11"/>
    </row>
    <row r="37" spans="1:9" ht="15.75" customHeight="1">
      <c r="A37" s="6"/>
      <c r="B37" s="5"/>
      <c r="C37" s="7"/>
      <c r="D37" s="7"/>
      <c r="E37" s="7"/>
      <c r="G37" s="10"/>
      <c r="H37" s="11"/>
      <c r="I37" s="11"/>
    </row>
    <row r="38" spans="1:9" ht="15.75" customHeight="1">
      <c r="A38" s="6"/>
      <c r="B38" s="5"/>
      <c r="C38" s="7"/>
      <c r="D38" s="7"/>
      <c r="E38" s="7"/>
      <c r="G38" s="10"/>
      <c r="H38" s="11"/>
      <c r="I38" s="11"/>
    </row>
    <row r="39" spans="1:9" ht="15.75" customHeight="1">
      <c r="A39" s="6"/>
      <c r="B39" s="5"/>
      <c r="C39" s="7"/>
      <c r="D39" s="7"/>
      <c r="E39" s="7"/>
      <c r="G39" s="10"/>
      <c r="H39" s="11"/>
      <c r="I39" s="11"/>
    </row>
    <row r="40" spans="1:9" ht="15.75" customHeight="1">
      <c r="A40" s="6"/>
      <c r="B40" s="5"/>
      <c r="C40" s="7"/>
      <c r="D40" s="7"/>
      <c r="E40" s="7"/>
      <c r="G40" s="10"/>
      <c r="H40" s="11"/>
      <c r="I40" s="11"/>
    </row>
    <row r="41" spans="1:9" ht="15.75" customHeight="1">
      <c r="A41" s="6"/>
      <c r="B41" s="5"/>
      <c r="C41" s="7"/>
      <c r="D41" s="7"/>
      <c r="E41" s="7"/>
      <c r="G41" s="10"/>
      <c r="H41" s="11"/>
      <c r="I41" s="11"/>
    </row>
    <row r="42" spans="1:9" ht="15.75" customHeight="1">
      <c r="A42" s="6"/>
      <c r="B42" s="5"/>
      <c r="C42" s="7"/>
      <c r="D42" s="7"/>
      <c r="E42" s="7"/>
      <c r="G42" s="10"/>
      <c r="H42" s="11"/>
      <c r="I42" s="11"/>
    </row>
    <row r="43" spans="1:9" ht="15.75" customHeight="1">
      <c r="A43" s="6"/>
      <c r="B43" s="5"/>
      <c r="C43" s="7"/>
      <c r="D43" s="7"/>
      <c r="E43" s="7"/>
      <c r="G43" s="10"/>
      <c r="H43" s="11"/>
      <c r="I43" s="11"/>
    </row>
    <row r="44" spans="1:9" ht="15.75" customHeight="1">
      <c r="A44" s="6"/>
      <c r="B44" s="5"/>
      <c r="C44" s="7"/>
      <c r="D44" s="7"/>
      <c r="E44" s="7"/>
      <c r="G44" s="10"/>
      <c r="H44" s="11"/>
      <c r="I44" s="11"/>
    </row>
    <row r="45" spans="1:9" ht="15.75" customHeight="1">
      <c r="A45" s="6"/>
      <c r="B45" s="5"/>
      <c r="C45" s="7"/>
      <c r="D45" s="7"/>
      <c r="E45" s="7"/>
      <c r="G45" s="10"/>
      <c r="H45" s="11"/>
      <c r="I45" s="11"/>
    </row>
    <row r="46" spans="1:9" ht="15.75" customHeight="1">
      <c r="A46" s="6"/>
      <c r="B46" s="5"/>
      <c r="C46" s="7"/>
      <c r="D46" s="7"/>
      <c r="E46" s="7"/>
      <c r="G46" s="10"/>
      <c r="H46" s="11"/>
      <c r="I46" s="11"/>
    </row>
    <row r="47" spans="1:9" ht="15.75" customHeight="1">
      <c r="A47" s="6"/>
      <c r="B47" s="5"/>
      <c r="C47" s="7"/>
      <c r="D47" s="7"/>
      <c r="E47" s="7"/>
      <c r="G47" s="10"/>
      <c r="H47" s="11"/>
      <c r="I47" s="11"/>
    </row>
    <row r="48" spans="1:9" ht="15.75" customHeight="1">
      <c r="A48" s="6"/>
      <c r="B48" s="5"/>
      <c r="C48" s="7"/>
      <c r="D48" s="7"/>
      <c r="E48" s="7"/>
      <c r="G48" s="10"/>
      <c r="H48" s="11"/>
      <c r="I48" s="11"/>
    </row>
    <row r="49" spans="1:9" ht="15.75" customHeight="1">
      <c r="A49" s="6"/>
      <c r="B49" s="5"/>
      <c r="C49" s="7"/>
      <c r="D49" s="7"/>
      <c r="E49" s="7"/>
      <c r="G49" s="10"/>
      <c r="H49" s="11"/>
      <c r="I49" s="11"/>
    </row>
    <row r="50" spans="1:9" ht="15.75" customHeight="1">
      <c r="A50" s="6"/>
      <c r="B50" s="5"/>
      <c r="C50" s="7"/>
      <c r="D50" s="7"/>
      <c r="E50" s="7"/>
      <c r="G50" s="10"/>
      <c r="H50" s="11"/>
      <c r="I5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DY=1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Bulent Tavli</cp:lastModifiedBy>
  <dcterms:modified xsi:type="dcterms:W3CDTF">2025-04-24T15:52:33Z</dcterms:modified>
</cp:coreProperties>
</file>