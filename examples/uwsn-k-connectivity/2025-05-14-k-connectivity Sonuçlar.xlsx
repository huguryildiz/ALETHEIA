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huguryildiz/Desktop/"/>
    </mc:Choice>
  </mc:AlternateContent>
  <xr:revisionPtr revIDLastSave="0" documentId="13_ncr:1_{59992817-2279-4142-BD1A-91331A3CBBE0}" xr6:coauthVersionLast="47" xr6:coauthVersionMax="47" xr10:uidLastSave="{00000000-0000-0000-0000-000000000000}"/>
  <bookViews>
    <workbookView xWindow="2240" yWindow="2700" windowWidth="16480" windowHeight="18940" xr2:uid="{00000000-000D-0000-FFFF-FFFF00000000}"/>
  </bookViews>
  <sheets>
    <sheet name="absolutely honest result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3" l="1"/>
  <c r="J5" i="3"/>
  <c r="K5" i="3"/>
  <c r="I6" i="3"/>
  <c r="J6" i="3"/>
  <c r="K6" i="3"/>
  <c r="I7" i="3"/>
  <c r="J7" i="3"/>
  <c r="K7" i="3"/>
  <c r="I8" i="3"/>
  <c r="J8" i="3"/>
  <c r="K8" i="3"/>
  <c r="I9" i="3"/>
  <c r="J9" i="3"/>
  <c r="K9" i="3"/>
  <c r="I10" i="3"/>
  <c r="J10" i="3"/>
  <c r="K10" i="3"/>
  <c r="I11" i="3"/>
  <c r="J11" i="3"/>
  <c r="K11" i="3"/>
  <c r="I12" i="3"/>
  <c r="J12" i="3"/>
  <c r="K12" i="3"/>
  <c r="I13" i="3"/>
  <c r="J13" i="3"/>
  <c r="K13" i="3"/>
  <c r="I14" i="3"/>
  <c r="J14" i="3"/>
  <c r="K14" i="3"/>
  <c r="I15" i="3"/>
  <c r="J15" i="3"/>
  <c r="K15" i="3"/>
  <c r="Y5" i="3" l="1"/>
  <c r="Z5" i="3"/>
  <c r="AF5" i="3" s="1"/>
  <c r="AI5" i="3" s="1"/>
  <c r="Y6" i="3"/>
  <c r="AB6" i="3" s="1"/>
  <c r="Z6" i="3"/>
  <c r="AC6" i="3" s="1"/>
  <c r="Y7" i="3"/>
  <c r="AB7" i="3" s="1"/>
  <c r="Z7" i="3"/>
  <c r="AC7" i="3" s="1"/>
  <c r="Y8" i="3"/>
  <c r="AB8" i="3" s="1"/>
  <c r="Z8" i="3"/>
  <c r="AF8" i="3" s="1"/>
  <c r="AI8" i="3" s="1"/>
  <c r="Y9" i="3"/>
  <c r="AE9" i="3" s="1"/>
  <c r="AH9" i="3" s="1"/>
  <c r="Z9" i="3"/>
  <c r="AC9" i="3" s="1"/>
  <c r="Y10" i="3"/>
  <c r="AE10" i="3" s="1"/>
  <c r="AH10" i="3" s="1"/>
  <c r="Z10" i="3"/>
  <c r="AC10" i="3" s="1"/>
  <c r="Y11" i="3"/>
  <c r="AE11" i="3" s="1"/>
  <c r="AH11" i="3" s="1"/>
  <c r="Z11" i="3"/>
  <c r="AC11" i="3" s="1"/>
  <c r="Y12" i="3"/>
  <c r="AB12" i="3" s="1"/>
  <c r="Z12" i="3"/>
  <c r="AF12" i="3" s="1"/>
  <c r="AI12" i="3" s="1"/>
  <c r="Y13" i="3"/>
  <c r="AE13" i="3" s="1"/>
  <c r="AH13" i="3" s="1"/>
  <c r="Z13" i="3"/>
  <c r="AF13" i="3" s="1"/>
  <c r="AI13" i="3" s="1"/>
  <c r="Y14" i="3"/>
  <c r="AE14" i="3" s="1"/>
  <c r="AH14" i="3" s="1"/>
  <c r="Z14" i="3"/>
  <c r="AF14" i="3" s="1"/>
  <c r="AI14" i="3" s="1"/>
  <c r="Y15" i="3"/>
  <c r="AB15" i="3" s="1"/>
  <c r="Z15" i="3"/>
  <c r="AF15" i="3" s="1"/>
  <c r="AI15" i="3" s="1"/>
  <c r="X6" i="3"/>
  <c r="AA6" i="3" s="1"/>
  <c r="X7" i="3"/>
  <c r="AD7" i="3" s="1"/>
  <c r="AG7" i="3" s="1"/>
  <c r="X8" i="3"/>
  <c r="AD8" i="3" s="1"/>
  <c r="AG8" i="3" s="1"/>
  <c r="X9" i="3"/>
  <c r="AA9" i="3" s="1"/>
  <c r="X10" i="3"/>
  <c r="AD10" i="3" s="1"/>
  <c r="AG10" i="3" s="1"/>
  <c r="X11" i="3"/>
  <c r="AA11" i="3" s="1"/>
  <c r="X12" i="3"/>
  <c r="AD12" i="3" s="1"/>
  <c r="AG12" i="3" s="1"/>
  <c r="X13" i="3"/>
  <c r="AA13" i="3" s="1"/>
  <c r="X14" i="3"/>
  <c r="AA14" i="3" s="1"/>
  <c r="X15" i="3"/>
  <c r="AD15" i="3" s="1"/>
  <c r="AG15" i="3" s="1"/>
  <c r="X5" i="3"/>
  <c r="AA5" i="3" s="1"/>
  <c r="M5" i="3"/>
  <c r="P5" i="3" s="1"/>
  <c r="N5" i="3"/>
  <c r="M6" i="3"/>
  <c r="P6" i="3" s="1"/>
  <c r="N6" i="3"/>
  <c r="M7" i="3"/>
  <c r="N7" i="3"/>
  <c r="M8" i="3"/>
  <c r="N10" i="3"/>
  <c r="M11" i="3"/>
  <c r="S11" i="3" s="1"/>
  <c r="V11" i="3" s="1"/>
  <c r="M12" i="3"/>
  <c r="S12" i="3" s="1"/>
  <c r="V12" i="3" s="1"/>
  <c r="N12" i="3"/>
  <c r="Q12" i="3" s="1"/>
  <c r="N13" i="3"/>
  <c r="M14" i="3"/>
  <c r="N14" i="3"/>
  <c r="M15" i="3"/>
  <c r="N15" i="3"/>
  <c r="L10" i="3"/>
  <c r="L11" i="3"/>
  <c r="L12" i="3"/>
  <c r="L15" i="3"/>
  <c r="L5" i="3"/>
  <c r="R5" i="3" s="1"/>
  <c r="U5" i="3" s="1"/>
  <c r="L14" i="3"/>
  <c r="O14" i="3" s="1"/>
  <c r="AB13" i="3"/>
  <c r="M13" i="3"/>
  <c r="P13" i="3" s="1"/>
  <c r="L13" i="3"/>
  <c r="R13" i="3" s="1"/>
  <c r="U13" i="3" s="1"/>
  <c r="N11" i="3"/>
  <c r="T11" i="3" s="1"/>
  <c r="W11" i="3" s="1"/>
  <c r="M10" i="3"/>
  <c r="AB9" i="3"/>
  <c r="N9" i="3"/>
  <c r="M9" i="3"/>
  <c r="L9" i="3"/>
  <c r="AA8" i="3"/>
  <c r="N8" i="3"/>
  <c r="L8" i="3"/>
  <c r="L7" i="3"/>
  <c r="L6" i="3"/>
  <c r="O6" i="3" s="1"/>
  <c r="AE5" i="3"/>
  <c r="AH5" i="3" s="1"/>
  <c r="AC5" i="3"/>
  <c r="AB5" i="3"/>
  <c r="AC8" i="3" l="1"/>
  <c r="AA15" i="3"/>
  <c r="AF6" i="3"/>
  <c r="AI6" i="3" s="1"/>
  <c r="AA12" i="3"/>
  <c r="AA7" i="3"/>
  <c r="AE8" i="3"/>
  <c r="AH8" i="3" s="1"/>
  <c r="AF7" i="3"/>
  <c r="AI7" i="3" s="1"/>
  <c r="AD13" i="3"/>
  <c r="AG13" i="3" s="1"/>
  <c r="AE6" i="3"/>
  <c r="AH6" i="3" s="1"/>
  <c r="AA10" i="3"/>
  <c r="AC15" i="3"/>
  <c r="AB14" i="3"/>
  <c r="AD9" i="3"/>
  <c r="AG9" i="3" s="1"/>
  <c r="AF10" i="3"/>
  <c r="AI10" i="3" s="1"/>
  <c r="AC13" i="3"/>
  <c r="AD5" i="3"/>
  <c r="AG5" i="3" s="1"/>
  <c r="AD11" i="3"/>
  <c r="AG11" i="3" s="1"/>
  <c r="AB10" i="3"/>
  <c r="AE7" i="3"/>
  <c r="AH7" i="3" s="1"/>
  <c r="AF9" i="3"/>
  <c r="AI9" i="3" s="1"/>
  <c r="AD14" i="3"/>
  <c r="AG14" i="3" s="1"/>
  <c r="AD6" i="3"/>
  <c r="AG6" i="3" s="1"/>
  <c r="AF11" i="3"/>
  <c r="AI11" i="3" s="1"/>
  <c r="AB11" i="3"/>
  <c r="AC12" i="3"/>
  <c r="AC14" i="3"/>
  <c r="AE15" i="3"/>
  <c r="AH15" i="3" s="1"/>
  <c r="AE12" i="3"/>
  <c r="AH12" i="3" s="1"/>
  <c r="R12" i="3"/>
  <c r="U12" i="3" s="1"/>
  <c r="O12" i="3"/>
  <c r="T10" i="3"/>
  <c r="W10" i="3" s="1"/>
  <c r="Q10" i="3"/>
  <c r="Q5" i="3"/>
  <c r="T5" i="3"/>
  <c r="W5" i="3" s="1"/>
  <c r="Q13" i="3"/>
  <c r="T13" i="3"/>
  <c r="W13" i="3" s="1"/>
  <c r="P14" i="3"/>
  <c r="S14" i="3"/>
  <c r="V14" i="3" s="1"/>
  <c r="O7" i="3"/>
  <c r="R7" i="3"/>
  <c r="U7" i="3" s="1"/>
  <c r="P11" i="3"/>
  <c r="S6" i="3"/>
  <c r="V6" i="3" s="1"/>
  <c r="S15" i="3"/>
  <c r="V15" i="3" s="1"/>
  <c r="P15" i="3"/>
  <c r="P7" i="3"/>
  <c r="S7" i="3"/>
  <c r="V7" i="3" s="1"/>
  <c r="S9" i="3"/>
  <c r="V9" i="3" s="1"/>
  <c r="P9" i="3"/>
  <c r="T15" i="3"/>
  <c r="W15" i="3" s="1"/>
  <c r="Q15" i="3"/>
  <c r="T9" i="3"/>
  <c r="W9" i="3" s="1"/>
  <c r="Q9" i="3"/>
  <c r="O11" i="3"/>
  <c r="R11" i="3"/>
  <c r="U11" i="3" s="1"/>
  <c r="O8" i="3"/>
  <c r="R8" i="3"/>
  <c r="U8" i="3" s="1"/>
  <c r="S10" i="3"/>
  <c r="V10" i="3" s="1"/>
  <c r="P10" i="3"/>
  <c r="Q6" i="3"/>
  <c r="T6" i="3"/>
  <c r="W6" i="3" s="1"/>
  <c r="R10" i="3"/>
  <c r="U10" i="3" s="1"/>
  <c r="O10" i="3"/>
  <c r="S8" i="3"/>
  <c r="V8" i="3" s="1"/>
  <c r="P8" i="3"/>
  <c r="Q14" i="3"/>
  <c r="T14" i="3"/>
  <c r="W14" i="3" s="1"/>
  <c r="R9" i="3"/>
  <c r="U9" i="3" s="1"/>
  <c r="O9" i="3"/>
  <c r="T7" i="3"/>
  <c r="W7" i="3" s="1"/>
  <c r="Q7" i="3"/>
  <c r="T8" i="3"/>
  <c r="W8" i="3" s="1"/>
  <c r="Q8" i="3"/>
  <c r="O15" i="3"/>
  <c r="R15" i="3"/>
  <c r="U15" i="3" s="1"/>
  <c r="S5" i="3"/>
  <c r="V5" i="3" s="1"/>
  <c r="R6" i="3"/>
  <c r="U6" i="3" s="1"/>
  <c r="T12" i="3"/>
  <c r="W12" i="3" s="1"/>
  <c r="S13" i="3"/>
  <c r="V13" i="3" s="1"/>
  <c r="R14" i="3"/>
  <c r="U14" i="3" s="1"/>
  <c r="O5" i="3"/>
  <c r="Q11" i="3"/>
  <c r="P12" i="3"/>
  <c r="O13" i="3"/>
</calcChain>
</file>

<file path=xl/sharedStrings.xml><?xml version="1.0" encoding="utf-8"?>
<sst xmlns="http://schemas.openxmlformats.org/spreadsheetml/2006/main" count="58" uniqueCount="27">
  <si>
    <t>DY=1</t>
  </si>
  <si>
    <t>DY=2</t>
  </si>
  <si>
    <t>DY=3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</si>
  <si>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</si>
  <si>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</si>
  <si>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</si>
  <si>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</si>
  <si>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</si>
  <si>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</si>
  <si>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</si>
  <si>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</si>
  <si>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</si>
  <si>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</si>
  <si>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</si>
  <si>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K1</t>
  </si>
  <si>
    <t>K2</t>
  </si>
  <si>
    <t>K3</t>
  </si>
  <si>
    <t>S#</t>
  </si>
  <si>
    <t>NORM S1-DY=1</t>
  </si>
  <si>
    <t>%S1-DY1</t>
  </si>
  <si>
    <t>NORM S1</t>
  </si>
  <si>
    <t>%S1</t>
  </si>
  <si>
    <t>ENERGY</t>
  </si>
  <si>
    <t>LT</t>
  </si>
  <si>
    <t>PARAMETERS</t>
  </si>
  <si>
    <t>ABSOLUTE (KJ)</t>
  </si>
  <si>
    <t>SELECTED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</si>
</sst>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0"/>
      <color rgb="FF000000"/>
      <name val="Arial"/>
      <scheme val="minor"/>
    </font>
    <font>
      <sz val="11"/>
      <color rgb="FF000000"/>
      <name val="Arial"/>
      <family val="2"/>
      <scheme val="minor"/>
    </font>
    <font>
      <sz val="11"/>
      <color rgb="FF000000"/>
      <name val="&quot;Aptos Narrow&quot;"/>
    </font>
    <font>
      <sz val="11"/>
      <color theme="1"/>
      <name val="&quot;Aptos Narrow&quot;"/>
    </font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right"/>
    </xf>
    <xf numFmtId="0" fontId="1" fillId="0" borderId="5" xfId="0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5" xfId="0" applyNumberFormat="1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2" fontId="1" fillId="0" borderId="8" xfId="0" applyNumberFormat="1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4" fillId="0" borderId="12" xfId="0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1" fillId="0" borderId="4" xfId="0" applyFont="1" applyBorder="1" applyAlignment="1">
      <alignment horizontal="center"/>
    </xf>
    <xf numFmtId="164" fontId="3" fillId="0" borderId="0" xfId="0" applyNumberFormat="1" applyFont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2" fontId="4" fillId="0" borderId="0" xfId="0" applyNumberFormat="1" applyFont="1" applyAlignment="1">
      <alignment horizontal="center"/>
    </xf>
    <xf numFmtId="2" fontId="4" fillId="0" borderId="5" xfId="0" applyNumberFormat="1" applyFont="1" applyBorder="1" applyAlignment="1">
      <alignment horizontal="center"/>
    </xf>
    <xf numFmtId="2" fontId="4" fillId="0" borderId="7" xfId="0" applyNumberFormat="1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164" fontId="4" fillId="0" borderId="5" xfId="0" applyNumberFormat="1" applyFont="1" applyBorder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164" fontId="4" fillId="0" borderId="8" xfId="0" applyNumberFormat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164" fontId="4" fillId="0" borderId="6" xfId="0" applyNumberFormat="1" applyFont="1" applyBorder="1" applyAlignment="1">
      <alignment horizontal="center"/>
    </xf>
    <xf numFmtId="1" fontId="4" fillId="2" borderId="4" xfId="0" applyNumberFormat="1" applyFont="1" applyFill="1" applyBorder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5" xfId="0" applyNumberFormat="1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164" fontId="4" fillId="2" borderId="0" xfId="0" applyNumberFormat="1" applyFont="1" applyFill="1" applyAlignment="1">
      <alignment horizontal="right"/>
    </xf>
    <xf numFmtId="2" fontId="1" fillId="2" borderId="4" xfId="0" applyNumberFormat="1" applyFont="1" applyFill="1" applyBorder="1" applyAlignment="1">
      <alignment horizontal="center"/>
    </xf>
    <xf numFmtId="2" fontId="1" fillId="2" borderId="0" xfId="0" applyNumberFormat="1" applyFont="1" applyFill="1" applyAlignment="1">
      <alignment horizontal="center"/>
    </xf>
    <xf numFmtId="2" fontId="1" fillId="2" borderId="5" xfId="0" applyNumberFormat="1" applyFont="1" applyFill="1" applyBorder="1" applyAlignment="1">
      <alignment horizontal="center"/>
    </xf>
    <xf numFmtId="1" fontId="4" fillId="2" borderId="6" xfId="0" applyNumberFormat="1" applyFont="1" applyFill="1" applyBorder="1" applyAlignment="1">
      <alignment horizontal="center"/>
    </xf>
    <xf numFmtId="1" fontId="4" fillId="2" borderId="7" xfId="0" applyNumberFormat="1" applyFont="1" applyFill="1" applyBorder="1" applyAlignment="1">
      <alignment horizontal="center"/>
    </xf>
    <xf numFmtId="1" fontId="4" fillId="2" borderId="8" xfId="0" applyNumberFormat="1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164" fontId="4" fillId="2" borderId="7" xfId="0" applyNumberFormat="1" applyFont="1" applyFill="1" applyBorder="1" applyAlignment="1">
      <alignment horizontal="right"/>
    </xf>
    <xf numFmtId="2" fontId="1" fillId="2" borderId="6" xfId="0" applyNumberFormat="1" applyFont="1" applyFill="1" applyBorder="1" applyAlignment="1">
      <alignment horizontal="center"/>
    </xf>
    <xf numFmtId="2" fontId="1" fillId="2" borderId="7" xfId="0" applyNumberFormat="1" applyFont="1" applyFill="1" applyBorder="1" applyAlignment="1">
      <alignment horizontal="center"/>
    </xf>
    <xf numFmtId="2" fontId="1" fillId="2" borderId="8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933B2-AF9C-324C-9B2D-003512C7B12B}">
  <dimension ref="A1:AI40"/>
  <sheetViews>
    <sheetView tabSelected="1" zoomScale="150" zoomScaleNormal="150" workbookViewId="0">
      <selection activeCell="K15" sqref="B15:K15"/>
    </sheetView>
  </sheetViews>
  <sheetFormatPr baseColWidth="10" defaultColWidth="12.6640625" defaultRowHeight="14"/>
  <cols>
    <col min="1" max="1" width="5.6640625" style="2" bestFit="1" customWidth="1"/>
    <col min="2" max="2" width="5.6640625" style="1" customWidth="1"/>
    <col min="3" max="4" width="3.33203125" style="1" bestFit="1" customWidth="1"/>
    <col min="5" max="5" width="4.33203125" style="1" bestFit="1" customWidth="1"/>
    <col min="6" max="8" width="5.83203125" style="1" hidden="1" customWidth="1"/>
    <col min="9" max="10" width="6.6640625" style="1" bestFit="1" customWidth="1"/>
    <col min="11" max="11" width="7.6640625" style="1" bestFit="1" customWidth="1"/>
    <col min="12" max="12" width="5.6640625" style="1" bestFit="1" customWidth="1"/>
    <col min="13" max="13" width="4.6640625" style="1" bestFit="1" customWidth="1"/>
    <col min="14" max="15" width="5.6640625" style="1" bestFit="1" customWidth="1"/>
    <col min="16" max="17" width="6.6640625" style="1" bestFit="1" customWidth="1"/>
    <col min="18" max="18" width="7.1640625" style="1" customWidth="1"/>
    <col min="19" max="29" width="5.6640625" style="1" bestFit="1" customWidth="1"/>
    <col min="30" max="30" width="6.5" style="1" customWidth="1"/>
    <col min="31" max="31" width="5.6640625" style="1" bestFit="1" customWidth="1"/>
    <col min="32" max="32" width="7.6640625" style="1" bestFit="1" customWidth="1"/>
    <col min="33" max="35" width="5.6640625" style="1" bestFit="1" customWidth="1"/>
    <col min="36" max="16384" width="12.6640625" style="1"/>
  </cols>
  <sheetData>
    <row r="1" spans="1:35" ht="15.75" customHeight="1" thickBot="1"/>
    <row r="2" spans="1:35" ht="15.75" customHeight="1" thickBot="1">
      <c r="B2" s="12" t="s">
        <v>24</v>
      </c>
      <c r="C2" s="13"/>
      <c r="D2" s="13"/>
      <c r="E2" s="13"/>
      <c r="F2" s="13"/>
      <c r="G2" s="13"/>
      <c r="H2" s="14"/>
      <c r="I2" s="12" t="s">
        <v>22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4"/>
      <c r="X2" s="12" t="s">
        <v>23</v>
      </c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4"/>
    </row>
    <row r="3" spans="1:35" ht="15.75" customHeight="1" thickBot="1">
      <c r="B3" s="12"/>
      <c r="C3" s="13"/>
      <c r="D3" s="13"/>
      <c r="E3" s="13"/>
      <c r="F3" s="12" t="s">
        <v>26</v>
      </c>
      <c r="G3" s="13"/>
      <c r="H3" s="14"/>
      <c r="I3" s="12" t="s">
        <v>25</v>
      </c>
      <c r="J3" s="13"/>
      <c r="K3" s="14"/>
      <c r="L3" s="12" t="s">
        <v>18</v>
      </c>
      <c r="M3" s="13"/>
      <c r="N3" s="14"/>
      <c r="O3" s="13" t="s">
        <v>19</v>
      </c>
      <c r="P3" s="13"/>
      <c r="Q3" s="14"/>
      <c r="R3" s="12" t="s">
        <v>20</v>
      </c>
      <c r="S3" s="13"/>
      <c r="T3" s="14"/>
      <c r="U3" s="13" t="s">
        <v>21</v>
      </c>
      <c r="V3" s="13"/>
      <c r="W3" s="14"/>
      <c r="X3" s="16" t="s">
        <v>18</v>
      </c>
      <c r="Y3" s="17"/>
      <c r="Z3" s="17"/>
      <c r="AA3" s="16" t="s">
        <v>19</v>
      </c>
      <c r="AB3" s="17"/>
      <c r="AC3" s="18"/>
      <c r="AD3" s="17" t="s">
        <v>20</v>
      </c>
      <c r="AE3" s="17"/>
      <c r="AF3" s="18"/>
      <c r="AG3" s="12" t="s">
        <v>21</v>
      </c>
      <c r="AH3" s="13"/>
      <c r="AI3" s="14"/>
    </row>
    <row r="4" spans="1:35">
      <c r="A4" s="3"/>
      <c r="B4" s="22" t="s">
        <v>14</v>
      </c>
      <c r="C4" s="23" t="s">
        <v>15</v>
      </c>
      <c r="D4" s="24" t="s">
        <v>16</v>
      </c>
      <c r="E4" s="15" t="s">
        <v>17</v>
      </c>
      <c r="F4" s="19" t="s">
        <v>0</v>
      </c>
      <c r="G4" s="2" t="s">
        <v>1</v>
      </c>
      <c r="H4" s="2" t="s">
        <v>2</v>
      </c>
      <c r="I4" s="19" t="s">
        <v>0</v>
      </c>
      <c r="J4" s="2" t="s">
        <v>1</v>
      </c>
      <c r="K4" s="5" t="s">
        <v>2</v>
      </c>
      <c r="L4" s="19" t="s">
        <v>0</v>
      </c>
      <c r="M4" s="2" t="s">
        <v>1</v>
      </c>
      <c r="N4" s="5" t="s">
        <v>2</v>
      </c>
      <c r="O4" s="2" t="s">
        <v>0</v>
      </c>
      <c r="P4" s="2" t="s">
        <v>1</v>
      </c>
      <c r="Q4" s="5" t="s">
        <v>2</v>
      </c>
      <c r="R4" s="19" t="s">
        <v>0</v>
      </c>
      <c r="S4" s="2" t="s">
        <v>1</v>
      </c>
      <c r="T4" s="5" t="s">
        <v>2</v>
      </c>
      <c r="U4" s="2" t="s">
        <v>0</v>
      </c>
      <c r="V4" s="2" t="s">
        <v>1</v>
      </c>
      <c r="W4" s="2" t="s">
        <v>2</v>
      </c>
      <c r="X4" s="22" t="s">
        <v>0</v>
      </c>
      <c r="Y4" s="23" t="s">
        <v>1</v>
      </c>
      <c r="Z4" s="24" t="s">
        <v>2</v>
      </c>
      <c r="AA4" s="25" t="s">
        <v>0</v>
      </c>
      <c r="AB4" s="25" t="s">
        <v>1</v>
      </c>
      <c r="AC4" s="26" t="s">
        <v>2</v>
      </c>
      <c r="AD4" s="22" t="s">
        <v>0</v>
      </c>
      <c r="AE4" s="23" t="s">
        <v>1</v>
      </c>
      <c r="AF4" s="24" t="s">
        <v>2</v>
      </c>
      <c r="AG4" s="21" t="s">
        <v>0</v>
      </c>
      <c r="AH4" s="25" t="s">
        <v>1</v>
      </c>
      <c r="AI4" s="26" t="s">
        <v>2</v>
      </c>
    </row>
    <row r="5" spans="1:35">
      <c r="A5" s="20"/>
      <c r="B5" s="37">
        <v>30</v>
      </c>
      <c r="C5" s="38">
        <v>0</v>
      </c>
      <c r="D5" s="39">
        <v>0</v>
      </c>
      <c r="E5" s="40" t="s">
        <v>3</v>
      </c>
      <c r="F5" s="41">
        <v>1</v>
      </c>
      <c r="G5" s="41">
        <v>0.40699999999999997</v>
      </c>
      <c r="H5" s="41">
        <v>0.22</v>
      </c>
      <c r="I5" s="42">
        <f>13.664929*(1/F5)</f>
        <v>13.664929000000001</v>
      </c>
      <c r="J5" s="43">
        <f t="shared" ref="J5:K15" si="0">13.664929*(1/G5)</f>
        <v>33.574764127764134</v>
      </c>
      <c r="K5" s="44">
        <f t="shared" si="0"/>
        <v>62.113313636363642</v>
      </c>
      <c r="L5" s="10">
        <f t="shared" ref="L5:N15" si="1">I5/13.664929</f>
        <v>1</v>
      </c>
      <c r="M5" s="6">
        <f t="shared" si="1"/>
        <v>2.4570024570024573</v>
      </c>
      <c r="N5" s="7">
        <f t="shared" si="1"/>
        <v>4.5454545454545459</v>
      </c>
      <c r="O5" s="6">
        <f t="shared" ref="O5:Q15" si="2">100*(L5-1)</f>
        <v>0</v>
      </c>
      <c r="P5" s="6">
        <f t="shared" si="2"/>
        <v>145.70024570024574</v>
      </c>
      <c r="Q5" s="7">
        <f t="shared" si="2"/>
        <v>354.54545454545456</v>
      </c>
      <c r="R5" s="10">
        <f t="shared" ref="R5:R15" si="3">L5/1</f>
        <v>1</v>
      </c>
      <c r="S5" s="6">
        <f t="shared" ref="S5:S15" si="4">M5/2.457002457</f>
        <v>1.0000000000010001</v>
      </c>
      <c r="T5" s="7">
        <f t="shared" ref="T5:T15" si="5">N5/4.545454545</f>
        <v>1.0000000001</v>
      </c>
      <c r="U5" s="6">
        <f>100*(R5-1)</f>
        <v>0</v>
      </c>
      <c r="V5" s="6">
        <f t="shared" ref="V5:W15" si="6">100*(S5-1)</f>
        <v>1.000088900582341E-10</v>
      </c>
      <c r="W5" s="6">
        <f t="shared" si="6"/>
        <v>1.000000082740371E-8</v>
      </c>
      <c r="X5" s="34">
        <f t="shared" ref="X5:X15" si="7">F5*1</f>
        <v>1</v>
      </c>
      <c r="Y5" s="35">
        <f t="shared" ref="Y5:Y15" si="8">G5*1</f>
        <v>0.40699999999999997</v>
      </c>
      <c r="Z5" s="31">
        <f t="shared" ref="Z5:Z15" si="9">H5*1</f>
        <v>0.22</v>
      </c>
      <c r="AA5" s="27">
        <f>100*(1-X5)</f>
        <v>0</v>
      </c>
      <c r="AB5" s="27">
        <f t="shared" ref="AB5:AC15" si="10">100*(1-Y5)</f>
        <v>59.3</v>
      </c>
      <c r="AC5" s="28">
        <f t="shared" si="10"/>
        <v>78</v>
      </c>
      <c r="AD5" s="34">
        <f>X5*1</f>
        <v>1</v>
      </c>
      <c r="AE5" s="35">
        <f t="shared" ref="AE5:AE15" si="11">Y5/0.407</f>
        <v>1</v>
      </c>
      <c r="AF5" s="31">
        <f>Z5/0.22</f>
        <v>1</v>
      </c>
      <c r="AG5" s="10">
        <f>100*(1-AD5)</f>
        <v>0</v>
      </c>
      <c r="AH5" s="6">
        <f t="shared" ref="AH5:AI15" si="12">100*(1-AE5)</f>
        <v>0</v>
      </c>
      <c r="AI5" s="7">
        <f t="shared" si="12"/>
        <v>0</v>
      </c>
    </row>
    <row r="6" spans="1:35">
      <c r="A6" s="20"/>
      <c r="B6" s="37">
        <v>25</v>
      </c>
      <c r="C6" s="38">
        <v>5</v>
      </c>
      <c r="D6" s="39">
        <v>0</v>
      </c>
      <c r="E6" s="40" t="s">
        <v>4</v>
      </c>
      <c r="F6" s="41">
        <v>0.97799999999999998</v>
      </c>
      <c r="G6" s="41">
        <v>0.4</v>
      </c>
      <c r="H6" s="41">
        <v>0.215</v>
      </c>
      <c r="I6" s="42">
        <f t="shared" ref="I6:I15" si="13">13.664929*(1/F6)</f>
        <v>13.972320040899797</v>
      </c>
      <c r="J6" s="43">
        <f t="shared" si="0"/>
        <v>34.162322500000002</v>
      </c>
      <c r="K6" s="44">
        <f t="shared" si="0"/>
        <v>63.557809302325587</v>
      </c>
      <c r="L6" s="10">
        <f t="shared" si="1"/>
        <v>1.0224948875255624</v>
      </c>
      <c r="M6" s="6">
        <f t="shared" si="1"/>
        <v>2.5</v>
      </c>
      <c r="N6" s="7">
        <f t="shared" si="1"/>
        <v>4.6511627906976747</v>
      </c>
      <c r="O6" s="6">
        <f t="shared" si="2"/>
        <v>2.249488752556239</v>
      </c>
      <c r="P6" s="6">
        <f t="shared" si="2"/>
        <v>150</v>
      </c>
      <c r="Q6" s="7">
        <f t="shared" si="2"/>
        <v>365.11627906976747</v>
      </c>
      <c r="R6" s="10">
        <f t="shared" si="3"/>
        <v>1.0224948875255624</v>
      </c>
      <c r="S6" s="6">
        <f t="shared" si="4"/>
        <v>1.0175000000010175</v>
      </c>
      <c r="T6" s="7">
        <f t="shared" si="5"/>
        <v>1.0232558140558139</v>
      </c>
      <c r="U6" s="6">
        <f t="shared" ref="U6:U15" si="14">100*(R6-1)</f>
        <v>2.249488752556239</v>
      </c>
      <c r="V6" s="6">
        <f t="shared" si="6"/>
        <v>1.7500000001017479</v>
      </c>
      <c r="W6" s="6">
        <f t="shared" si="6"/>
        <v>2.3255814055813895</v>
      </c>
      <c r="X6" s="34">
        <f t="shared" si="7"/>
        <v>0.97799999999999998</v>
      </c>
      <c r="Y6" s="35">
        <f t="shared" si="8"/>
        <v>0.4</v>
      </c>
      <c r="Z6" s="31">
        <f t="shared" si="9"/>
        <v>0.215</v>
      </c>
      <c r="AA6" s="27">
        <f t="shared" ref="AA6:AA15" si="15">100*(1-X6)</f>
        <v>2.200000000000002</v>
      </c>
      <c r="AB6" s="27">
        <f t="shared" si="10"/>
        <v>60</v>
      </c>
      <c r="AC6" s="28">
        <f t="shared" si="10"/>
        <v>78.5</v>
      </c>
      <c r="AD6" s="34">
        <f t="shared" ref="AD6:AD15" si="16">X6*1</f>
        <v>0.97799999999999998</v>
      </c>
      <c r="AE6" s="35">
        <f t="shared" si="11"/>
        <v>0.98280098280098294</v>
      </c>
      <c r="AF6" s="31">
        <f t="shared" ref="AF6:AF15" si="17">Z6/0.22</f>
        <v>0.97727272727272729</v>
      </c>
      <c r="AG6" s="10">
        <f t="shared" ref="AG6:AG15" si="18">100*(1-AD6)</f>
        <v>2.200000000000002</v>
      </c>
      <c r="AH6" s="6">
        <f t="shared" si="12"/>
        <v>1.7199017199017064</v>
      </c>
      <c r="AI6" s="7">
        <f t="shared" si="12"/>
        <v>2.2727272727272707</v>
      </c>
    </row>
    <row r="7" spans="1:35">
      <c r="A7" s="20"/>
      <c r="B7" s="37">
        <v>20</v>
      </c>
      <c r="C7" s="38">
        <v>10</v>
      </c>
      <c r="D7" s="39">
        <v>0</v>
      </c>
      <c r="E7" s="40" t="s">
        <v>5</v>
      </c>
      <c r="F7" s="41">
        <v>0.96799999999999997</v>
      </c>
      <c r="G7" s="41">
        <v>0.38700000000000001</v>
      </c>
      <c r="H7" s="41">
        <v>0.20599999999999999</v>
      </c>
      <c r="I7" s="42">
        <f t="shared" si="13"/>
        <v>14.116662190082646</v>
      </c>
      <c r="J7" s="43">
        <f t="shared" si="0"/>
        <v>35.309894056847547</v>
      </c>
      <c r="K7" s="44">
        <f t="shared" si="0"/>
        <v>66.334606796116518</v>
      </c>
      <c r="L7" s="10">
        <f t="shared" si="1"/>
        <v>1.0330578512396695</v>
      </c>
      <c r="M7" s="6">
        <f t="shared" si="1"/>
        <v>2.5839793281653747</v>
      </c>
      <c r="N7" s="7">
        <f t="shared" si="1"/>
        <v>4.8543689320388355</v>
      </c>
      <c r="O7" s="6">
        <f t="shared" si="2"/>
        <v>3.3057851239669533</v>
      </c>
      <c r="P7" s="6">
        <f t="shared" si="2"/>
        <v>158.39793281653746</v>
      </c>
      <c r="Q7" s="7">
        <f t="shared" si="2"/>
        <v>385.43689320388353</v>
      </c>
      <c r="R7" s="10">
        <f t="shared" si="3"/>
        <v>1.0330578512396695</v>
      </c>
      <c r="S7" s="6">
        <f t="shared" si="4"/>
        <v>1.0516795865643591</v>
      </c>
      <c r="T7" s="7">
        <f t="shared" si="5"/>
        <v>1.0679611651553398</v>
      </c>
      <c r="U7" s="6">
        <f t="shared" si="14"/>
        <v>3.3057851239669533</v>
      </c>
      <c r="V7" s="6">
        <f t="shared" si="6"/>
        <v>5.1679586564359115</v>
      </c>
      <c r="W7" s="6">
        <f t="shared" si="6"/>
        <v>6.7961165155339787</v>
      </c>
      <c r="X7" s="34">
        <f t="shared" si="7"/>
        <v>0.96799999999999997</v>
      </c>
      <c r="Y7" s="35">
        <f t="shared" si="8"/>
        <v>0.38700000000000001</v>
      </c>
      <c r="Z7" s="31">
        <f t="shared" si="9"/>
        <v>0.20599999999999999</v>
      </c>
      <c r="AA7" s="27">
        <f t="shared" si="15"/>
        <v>3.2000000000000028</v>
      </c>
      <c r="AB7" s="27">
        <f t="shared" si="10"/>
        <v>61.3</v>
      </c>
      <c r="AC7" s="28">
        <f t="shared" si="10"/>
        <v>79.400000000000006</v>
      </c>
      <c r="AD7" s="34">
        <f t="shared" si="16"/>
        <v>0.96799999999999997</v>
      </c>
      <c r="AE7" s="35">
        <f t="shared" si="11"/>
        <v>0.9508599508599509</v>
      </c>
      <c r="AF7" s="31">
        <f t="shared" si="17"/>
        <v>0.93636363636363629</v>
      </c>
      <c r="AG7" s="10">
        <f t="shared" si="18"/>
        <v>3.2000000000000028</v>
      </c>
      <c r="AH7" s="6">
        <f t="shared" si="12"/>
        <v>4.9140049140049102</v>
      </c>
      <c r="AI7" s="7">
        <f t="shared" si="12"/>
        <v>6.3636363636363713</v>
      </c>
    </row>
    <row r="8" spans="1:35">
      <c r="A8" s="20"/>
      <c r="B8" s="37">
        <v>15</v>
      </c>
      <c r="C8" s="38">
        <v>15</v>
      </c>
      <c r="D8" s="39">
        <v>0</v>
      </c>
      <c r="E8" s="40" t="s">
        <v>6</v>
      </c>
      <c r="F8" s="41">
        <v>0.96199999999999997</v>
      </c>
      <c r="G8" s="41">
        <v>0.377</v>
      </c>
      <c r="H8" s="41">
        <v>0.2</v>
      </c>
      <c r="I8" s="42">
        <f t="shared" si="13"/>
        <v>14.204707900207902</v>
      </c>
      <c r="J8" s="43">
        <f t="shared" si="0"/>
        <v>36.24649602122016</v>
      </c>
      <c r="K8" s="44">
        <f t="shared" si="0"/>
        <v>68.324645000000004</v>
      </c>
      <c r="L8" s="10">
        <f t="shared" si="1"/>
        <v>1.0395010395010396</v>
      </c>
      <c r="M8" s="6">
        <f t="shared" si="1"/>
        <v>2.6525198938992043</v>
      </c>
      <c r="N8" s="7">
        <f t="shared" si="1"/>
        <v>5</v>
      </c>
      <c r="O8" s="6">
        <f t="shared" si="2"/>
        <v>3.9501039501039559</v>
      </c>
      <c r="P8" s="6">
        <f t="shared" si="2"/>
        <v>165.25198938992042</v>
      </c>
      <c r="Q8" s="7">
        <f t="shared" si="2"/>
        <v>400</v>
      </c>
      <c r="R8" s="10">
        <f t="shared" si="3"/>
        <v>1.0395010395010396</v>
      </c>
      <c r="S8" s="6">
        <f t="shared" si="4"/>
        <v>1.0795755968180556</v>
      </c>
      <c r="T8" s="7">
        <f t="shared" si="5"/>
        <v>1.1000000001099999</v>
      </c>
      <c r="U8" s="6">
        <f t="shared" si="14"/>
        <v>3.9501039501039559</v>
      </c>
      <c r="V8" s="6">
        <f t="shared" si="6"/>
        <v>7.9575596818055594</v>
      </c>
      <c r="W8" s="6">
        <f t="shared" si="6"/>
        <v>10.000000010999987</v>
      </c>
      <c r="X8" s="34">
        <f t="shared" si="7"/>
        <v>0.96199999999999997</v>
      </c>
      <c r="Y8" s="35">
        <f t="shared" si="8"/>
        <v>0.377</v>
      </c>
      <c r="Z8" s="31">
        <f t="shared" si="9"/>
        <v>0.2</v>
      </c>
      <c r="AA8" s="27">
        <f t="shared" si="15"/>
        <v>3.8000000000000034</v>
      </c>
      <c r="AB8" s="27">
        <f t="shared" si="10"/>
        <v>62.3</v>
      </c>
      <c r="AC8" s="28">
        <f t="shared" si="10"/>
        <v>80</v>
      </c>
      <c r="AD8" s="34">
        <f t="shared" si="16"/>
        <v>0.96199999999999997</v>
      </c>
      <c r="AE8" s="35">
        <f t="shared" si="11"/>
        <v>0.92628992628992635</v>
      </c>
      <c r="AF8" s="31">
        <f t="shared" si="17"/>
        <v>0.90909090909090917</v>
      </c>
      <c r="AG8" s="10">
        <f t="shared" si="18"/>
        <v>3.8000000000000034</v>
      </c>
      <c r="AH8" s="6">
        <f t="shared" si="12"/>
        <v>7.3710073710073658</v>
      </c>
      <c r="AI8" s="7">
        <f t="shared" si="12"/>
        <v>9.0909090909090828</v>
      </c>
    </row>
    <row r="9" spans="1:35">
      <c r="A9" s="20"/>
      <c r="B9" s="37">
        <v>20</v>
      </c>
      <c r="C9" s="38">
        <v>5</v>
      </c>
      <c r="D9" s="39">
        <v>5</v>
      </c>
      <c r="E9" s="40" t="s">
        <v>7</v>
      </c>
      <c r="F9" s="41">
        <v>0.95799999999999996</v>
      </c>
      <c r="G9" s="41">
        <v>0.376</v>
      </c>
      <c r="H9" s="41">
        <v>0.19700000000000001</v>
      </c>
      <c r="I9" s="42">
        <f t="shared" si="13"/>
        <v>14.264017745302716</v>
      </c>
      <c r="J9" s="43">
        <f t="shared" si="0"/>
        <v>36.342896276595745</v>
      </c>
      <c r="K9" s="44">
        <f t="shared" si="0"/>
        <v>69.365121827411173</v>
      </c>
      <c r="L9" s="10">
        <f t="shared" si="1"/>
        <v>1.0438413361169103</v>
      </c>
      <c r="M9" s="6">
        <f t="shared" si="1"/>
        <v>2.6595744680851063</v>
      </c>
      <c r="N9" s="7">
        <f t="shared" si="1"/>
        <v>5.0761421319796955</v>
      </c>
      <c r="O9" s="6">
        <f t="shared" si="2"/>
        <v>4.3841336116910323</v>
      </c>
      <c r="P9" s="6">
        <f t="shared" si="2"/>
        <v>165.95744680851064</v>
      </c>
      <c r="Q9" s="7">
        <f t="shared" si="2"/>
        <v>407.61421319796955</v>
      </c>
      <c r="R9" s="10">
        <f t="shared" si="3"/>
        <v>1.0438413361169103</v>
      </c>
      <c r="S9" s="6">
        <f t="shared" si="4"/>
        <v>1.0824468085117207</v>
      </c>
      <c r="T9" s="7">
        <f t="shared" si="5"/>
        <v>1.1167512691472081</v>
      </c>
      <c r="U9" s="6">
        <f t="shared" si="14"/>
        <v>4.3841336116910323</v>
      </c>
      <c r="V9" s="6">
        <f t="shared" si="6"/>
        <v>8.2446808511720704</v>
      </c>
      <c r="W9" s="6">
        <f t="shared" si="6"/>
        <v>11.675126914720813</v>
      </c>
      <c r="X9" s="34">
        <f t="shared" si="7"/>
        <v>0.95799999999999996</v>
      </c>
      <c r="Y9" s="35">
        <f t="shared" si="8"/>
        <v>0.376</v>
      </c>
      <c r="Z9" s="31">
        <f t="shared" si="9"/>
        <v>0.19700000000000001</v>
      </c>
      <c r="AA9" s="27">
        <f t="shared" si="15"/>
        <v>4.2000000000000037</v>
      </c>
      <c r="AB9" s="27">
        <f t="shared" si="10"/>
        <v>62.4</v>
      </c>
      <c r="AC9" s="28">
        <f t="shared" si="10"/>
        <v>80.3</v>
      </c>
      <c r="AD9" s="34">
        <f t="shared" si="16"/>
        <v>0.95799999999999996</v>
      </c>
      <c r="AE9" s="35">
        <f t="shared" si="11"/>
        <v>0.92383292383292392</v>
      </c>
      <c r="AF9" s="31">
        <f t="shared" si="17"/>
        <v>0.8954545454545455</v>
      </c>
      <c r="AG9" s="10">
        <f t="shared" si="18"/>
        <v>4.2000000000000037</v>
      </c>
      <c r="AH9" s="6">
        <f t="shared" si="12"/>
        <v>7.6167076167076075</v>
      </c>
      <c r="AI9" s="7">
        <f t="shared" si="12"/>
        <v>10.45454545454545</v>
      </c>
    </row>
    <row r="10" spans="1:35">
      <c r="A10" s="20"/>
      <c r="B10" s="37">
        <v>10</v>
      </c>
      <c r="C10" s="38">
        <v>20</v>
      </c>
      <c r="D10" s="39">
        <v>0</v>
      </c>
      <c r="E10" s="40" t="s">
        <v>8</v>
      </c>
      <c r="F10" s="41">
        <v>0.94899999999999995</v>
      </c>
      <c r="G10" s="41">
        <v>0.375</v>
      </c>
      <c r="H10" s="41">
        <v>0.187</v>
      </c>
      <c r="I10" s="42">
        <f t="shared" si="13"/>
        <v>14.399292939936776</v>
      </c>
      <c r="J10" s="43">
        <f t="shared" si="0"/>
        <v>36.439810666666666</v>
      </c>
      <c r="K10" s="44">
        <f t="shared" si="0"/>
        <v>73.074486631016043</v>
      </c>
      <c r="L10" s="10">
        <f t="shared" si="1"/>
        <v>1.053740779768177</v>
      </c>
      <c r="M10" s="6">
        <f t="shared" si="1"/>
        <v>2.6666666666666665</v>
      </c>
      <c r="N10" s="7">
        <f t="shared" si="1"/>
        <v>5.3475935828877006</v>
      </c>
      <c r="O10" s="6">
        <f t="shared" si="2"/>
        <v>5.3740779768177038</v>
      </c>
      <c r="P10" s="6">
        <f t="shared" si="2"/>
        <v>166.66666666666666</v>
      </c>
      <c r="Q10" s="7">
        <f t="shared" si="2"/>
        <v>434.75935828877004</v>
      </c>
      <c r="R10" s="10">
        <f t="shared" si="3"/>
        <v>1.053740779768177</v>
      </c>
      <c r="S10" s="6">
        <f t="shared" si="4"/>
        <v>1.0853333333344186</v>
      </c>
      <c r="T10" s="7">
        <f t="shared" si="5"/>
        <v>1.1764705883529412</v>
      </c>
      <c r="U10" s="6">
        <f t="shared" si="14"/>
        <v>5.3740779768177038</v>
      </c>
      <c r="V10" s="6">
        <f t="shared" si="6"/>
        <v>8.5333333334418615</v>
      </c>
      <c r="W10" s="6">
        <f t="shared" si="6"/>
        <v>17.647058835294118</v>
      </c>
      <c r="X10" s="34">
        <f t="shared" si="7"/>
        <v>0.94899999999999995</v>
      </c>
      <c r="Y10" s="35">
        <f t="shared" si="8"/>
        <v>0.375</v>
      </c>
      <c r="Z10" s="31">
        <f t="shared" si="9"/>
        <v>0.187</v>
      </c>
      <c r="AA10" s="27">
        <f t="shared" si="15"/>
        <v>5.100000000000005</v>
      </c>
      <c r="AB10" s="27">
        <f t="shared" si="10"/>
        <v>62.5</v>
      </c>
      <c r="AC10" s="28">
        <f t="shared" si="10"/>
        <v>81.3</v>
      </c>
      <c r="AD10" s="34">
        <f t="shared" si="16"/>
        <v>0.94899999999999995</v>
      </c>
      <c r="AE10" s="35">
        <f t="shared" si="11"/>
        <v>0.92137592137592139</v>
      </c>
      <c r="AF10" s="31">
        <f t="shared" si="17"/>
        <v>0.85</v>
      </c>
      <c r="AG10" s="10">
        <f t="shared" si="18"/>
        <v>5.100000000000005</v>
      </c>
      <c r="AH10" s="6">
        <f t="shared" si="12"/>
        <v>7.8624078624078608</v>
      </c>
      <c r="AI10" s="7">
        <f t="shared" si="12"/>
        <v>15.000000000000002</v>
      </c>
    </row>
    <row r="11" spans="1:35">
      <c r="A11" s="20"/>
      <c r="B11" s="37">
        <v>15</v>
      </c>
      <c r="C11" s="38">
        <v>10</v>
      </c>
      <c r="D11" s="39">
        <v>5</v>
      </c>
      <c r="E11" s="40" t="s">
        <v>9</v>
      </c>
      <c r="F11" s="41">
        <v>0.94299999999999995</v>
      </c>
      <c r="G11" s="41">
        <v>0.36599999999999999</v>
      </c>
      <c r="H11" s="41">
        <v>0.17</v>
      </c>
      <c r="I11" s="42">
        <f t="shared" si="13"/>
        <v>14.490910922587489</v>
      </c>
      <c r="J11" s="43">
        <f t="shared" si="0"/>
        <v>37.335871584699454</v>
      </c>
      <c r="K11" s="44">
        <f t="shared" si="0"/>
        <v>80.381935294117639</v>
      </c>
      <c r="L11" s="10">
        <f t="shared" si="1"/>
        <v>1.0604453870625663</v>
      </c>
      <c r="M11" s="6">
        <f t="shared" si="1"/>
        <v>2.7322404371584699</v>
      </c>
      <c r="N11" s="7">
        <f t="shared" si="1"/>
        <v>5.8823529411764692</v>
      </c>
      <c r="O11" s="6">
        <f t="shared" si="2"/>
        <v>6.0445387062566303</v>
      </c>
      <c r="P11" s="6">
        <f t="shared" si="2"/>
        <v>173.22404371584699</v>
      </c>
      <c r="Q11" s="7">
        <f t="shared" si="2"/>
        <v>488.2352941176469</v>
      </c>
      <c r="R11" s="10">
        <f t="shared" si="3"/>
        <v>1.0604453870625663</v>
      </c>
      <c r="S11" s="6">
        <f t="shared" si="4"/>
        <v>1.1120218579246093</v>
      </c>
      <c r="T11" s="7">
        <f t="shared" si="5"/>
        <v>1.294117647188235</v>
      </c>
      <c r="U11" s="6">
        <f t="shared" si="14"/>
        <v>6.0445387062566303</v>
      </c>
      <c r="V11" s="6">
        <f t="shared" si="6"/>
        <v>11.202185792460927</v>
      </c>
      <c r="W11" s="6">
        <f t="shared" si="6"/>
        <v>29.411764718823498</v>
      </c>
      <c r="X11" s="34">
        <f t="shared" si="7"/>
        <v>0.94299999999999995</v>
      </c>
      <c r="Y11" s="35">
        <f t="shared" si="8"/>
        <v>0.36599999999999999</v>
      </c>
      <c r="Z11" s="31">
        <f t="shared" si="9"/>
        <v>0.17</v>
      </c>
      <c r="AA11" s="27">
        <f t="shared" si="15"/>
        <v>5.7000000000000046</v>
      </c>
      <c r="AB11" s="27">
        <f t="shared" si="10"/>
        <v>63.4</v>
      </c>
      <c r="AC11" s="28">
        <f t="shared" si="10"/>
        <v>83</v>
      </c>
      <c r="AD11" s="34">
        <f t="shared" si="16"/>
        <v>0.94299999999999995</v>
      </c>
      <c r="AE11" s="35">
        <f t="shared" si="11"/>
        <v>0.89926289926289926</v>
      </c>
      <c r="AF11" s="31">
        <f t="shared" si="17"/>
        <v>0.77272727272727282</v>
      </c>
      <c r="AG11" s="10">
        <f t="shared" si="18"/>
        <v>5.7000000000000046</v>
      </c>
      <c r="AH11" s="6">
        <f t="shared" si="12"/>
        <v>10.073710073710075</v>
      </c>
      <c r="AI11" s="7">
        <f t="shared" si="12"/>
        <v>22.72727272727272</v>
      </c>
    </row>
    <row r="12" spans="1:35">
      <c r="A12" s="20"/>
      <c r="B12" s="37">
        <v>5</v>
      </c>
      <c r="C12" s="38">
        <v>25</v>
      </c>
      <c r="D12" s="39">
        <v>0</v>
      </c>
      <c r="E12" s="40" t="s">
        <v>10</v>
      </c>
      <c r="F12" s="41">
        <v>0.92200000000000004</v>
      </c>
      <c r="G12" s="41">
        <v>0.35399999999999998</v>
      </c>
      <c r="H12" s="41">
        <v>0.16</v>
      </c>
      <c r="I12" s="42">
        <f t="shared" si="13"/>
        <v>14.820964208242952</v>
      </c>
      <c r="J12" s="43">
        <f t="shared" si="0"/>
        <v>38.601494350282493</v>
      </c>
      <c r="K12" s="44">
        <f t="shared" si="0"/>
        <v>85.405806250000012</v>
      </c>
      <c r="L12" s="10">
        <f t="shared" si="1"/>
        <v>1.0845986984815619</v>
      </c>
      <c r="M12" s="6">
        <f t="shared" si="1"/>
        <v>2.8248587570621475</v>
      </c>
      <c r="N12" s="7">
        <f t="shared" si="1"/>
        <v>6.2500000000000009</v>
      </c>
      <c r="O12" s="6">
        <f t="shared" si="2"/>
        <v>8.4598698481561883</v>
      </c>
      <c r="P12" s="6">
        <f t="shared" si="2"/>
        <v>182.48587570621476</v>
      </c>
      <c r="Q12" s="7">
        <f t="shared" si="2"/>
        <v>525.00000000000011</v>
      </c>
      <c r="R12" s="10">
        <f t="shared" si="3"/>
        <v>1.0845986984815619</v>
      </c>
      <c r="S12" s="6">
        <f t="shared" si="4"/>
        <v>1.1497175141254437</v>
      </c>
      <c r="T12" s="7">
        <f t="shared" si="5"/>
        <v>1.3750000001375002</v>
      </c>
      <c r="U12" s="6">
        <f t="shared" si="14"/>
        <v>8.4598698481561883</v>
      </c>
      <c r="V12" s="6">
        <f t="shared" si="6"/>
        <v>14.971751412544364</v>
      </c>
      <c r="W12" s="6">
        <f t="shared" si="6"/>
        <v>37.500000013750025</v>
      </c>
      <c r="X12" s="34">
        <f t="shared" si="7"/>
        <v>0.92200000000000004</v>
      </c>
      <c r="Y12" s="35">
        <f t="shared" si="8"/>
        <v>0.35399999999999998</v>
      </c>
      <c r="Z12" s="31">
        <f t="shared" si="9"/>
        <v>0.16</v>
      </c>
      <c r="AA12" s="27">
        <f t="shared" si="15"/>
        <v>7.7999999999999954</v>
      </c>
      <c r="AB12" s="27">
        <f t="shared" si="10"/>
        <v>64.600000000000009</v>
      </c>
      <c r="AC12" s="28">
        <f t="shared" si="10"/>
        <v>84</v>
      </c>
      <c r="AD12" s="34">
        <f t="shared" si="16"/>
        <v>0.92200000000000004</v>
      </c>
      <c r="AE12" s="35">
        <f t="shared" si="11"/>
        <v>0.86977886977886976</v>
      </c>
      <c r="AF12" s="31">
        <f t="shared" si="17"/>
        <v>0.72727272727272729</v>
      </c>
      <c r="AG12" s="10">
        <f t="shared" si="18"/>
        <v>7.7999999999999954</v>
      </c>
      <c r="AH12" s="6">
        <f t="shared" si="12"/>
        <v>13.022113022113025</v>
      </c>
      <c r="AI12" s="7">
        <f t="shared" si="12"/>
        <v>27.27272727272727</v>
      </c>
    </row>
    <row r="13" spans="1:35">
      <c r="A13" s="20"/>
      <c r="B13" s="37">
        <v>0</v>
      </c>
      <c r="C13" s="38">
        <v>30</v>
      </c>
      <c r="D13" s="39">
        <v>0</v>
      </c>
      <c r="E13" s="40" t="s">
        <v>11</v>
      </c>
      <c r="F13" s="41">
        <v>0.89100000000000001</v>
      </c>
      <c r="G13" s="41">
        <v>0.34</v>
      </c>
      <c r="H13" s="41">
        <v>0.14199999999999999</v>
      </c>
      <c r="I13" s="42">
        <f t="shared" si="13"/>
        <v>15.336620650953986</v>
      </c>
      <c r="J13" s="43">
        <f t="shared" si="0"/>
        <v>40.19096764705882</v>
      </c>
      <c r="K13" s="44">
        <f t="shared" si="0"/>
        <v>96.231894366197196</v>
      </c>
      <c r="L13" s="10">
        <f t="shared" si="1"/>
        <v>1.122334455667789</v>
      </c>
      <c r="M13" s="6">
        <f t="shared" si="1"/>
        <v>2.9411764705882346</v>
      </c>
      <c r="N13" s="7">
        <f t="shared" si="1"/>
        <v>7.042253521126761</v>
      </c>
      <c r="O13" s="6">
        <f t="shared" si="2"/>
        <v>12.233445566778901</v>
      </c>
      <c r="P13" s="6">
        <f t="shared" si="2"/>
        <v>194.11764705882345</v>
      </c>
      <c r="Q13" s="7">
        <f t="shared" si="2"/>
        <v>604.22535211267609</v>
      </c>
      <c r="R13" s="10">
        <f t="shared" si="3"/>
        <v>1.122334455667789</v>
      </c>
      <c r="S13" s="6">
        <f t="shared" si="4"/>
        <v>1.1970588235306086</v>
      </c>
      <c r="T13" s="7">
        <f t="shared" si="5"/>
        <v>1.5492957748028169</v>
      </c>
      <c r="U13" s="6">
        <f t="shared" si="14"/>
        <v>12.233445566778901</v>
      </c>
      <c r="V13" s="6">
        <f t="shared" si="6"/>
        <v>19.705882353060854</v>
      </c>
      <c r="W13" s="6">
        <f t="shared" si="6"/>
        <v>54.929577480281687</v>
      </c>
      <c r="X13" s="34">
        <f t="shared" si="7"/>
        <v>0.89100000000000001</v>
      </c>
      <c r="Y13" s="35">
        <f t="shared" si="8"/>
        <v>0.34</v>
      </c>
      <c r="Z13" s="31">
        <f t="shared" si="9"/>
        <v>0.14199999999999999</v>
      </c>
      <c r="AA13" s="27">
        <f t="shared" si="15"/>
        <v>10.899999999999999</v>
      </c>
      <c r="AB13" s="27">
        <f t="shared" si="10"/>
        <v>65.999999999999986</v>
      </c>
      <c r="AC13" s="28">
        <f t="shared" si="10"/>
        <v>85.8</v>
      </c>
      <c r="AD13" s="34">
        <f t="shared" si="16"/>
        <v>0.89100000000000001</v>
      </c>
      <c r="AE13" s="35">
        <f t="shared" si="11"/>
        <v>0.83538083538083552</v>
      </c>
      <c r="AF13" s="31">
        <f t="shared" si="17"/>
        <v>0.64545454545454539</v>
      </c>
      <c r="AG13" s="10">
        <f t="shared" si="18"/>
        <v>10.899999999999999</v>
      </c>
      <c r="AH13" s="6">
        <f t="shared" si="12"/>
        <v>16.461916461916449</v>
      </c>
      <c r="AI13" s="7">
        <f t="shared" si="12"/>
        <v>35.45454545454546</v>
      </c>
    </row>
    <row r="14" spans="1:35">
      <c r="A14" s="20"/>
      <c r="B14" s="37">
        <v>10</v>
      </c>
      <c r="C14" s="38">
        <v>0</v>
      </c>
      <c r="D14" s="39">
        <v>20</v>
      </c>
      <c r="E14" s="40" t="s">
        <v>12</v>
      </c>
      <c r="F14" s="41">
        <v>0.82299999999999995</v>
      </c>
      <c r="G14" s="41">
        <v>0.32100000000000001</v>
      </c>
      <c r="H14" s="41">
        <v>0.13800000000000001</v>
      </c>
      <c r="I14" s="42">
        <f t="shared" si="13"/>
        <v>16.603801944106927</v>
      </c>
      <c r="J14" s="43">
        <f t="shared" si="0"/>
        <v>42.5698722741433</v>
      </c>
      <c r="K14" s="44">
        <f t="shared" si="0"/>
        <v>99.021224637681158</v>
      </c>
      <c r="L14" s="10">
        <f t="shared" si="1"/>
        <v>1.2150668286755772</v>
      </c>
      <c r="M14" s="6">
        <f t="shared" si="1"/>
        <v>3.1152647975077881</v>
      </c>
      <c r="N14" s="7">
        <f t="shared" si="1"/>
        <v>7.2463768115942022</v>
      </c>
      <c r="O14" s="6">
        <f t="shared" si="2"/>
        <v>21.506682867557725</v>
      </c>
      <c r="P14" s="6">
        <f t="shared" si="2"/>
        <v>211.5264797507788</v>
      </c>
      <c r="Q14" s="7">
        <f t="shared" si="2"/>
        <v>624.63768115942025</v>
      </c>
      <c r="R14" s="10">
        <f t="shared" si="3"/>
        <v>1.2150668286755772</v>
      </c>
      <c r="S14" s="6">
        <f t="shared" si="4"/>
        <v>1.2679127725869375</v>
      </c>
      <c r="T14" s="7">
        <f t="shared" si="5"/>
        <v>1.5942028987101446</v>
      </c>
      <c r="U14" s="6">
        <f t="shared" si="14"/>
        <v>21.506682867557725</v>
      </c>
      <c r="V14" s="6">
        <f t="shared" si="6"/>
        <v>26.791277258693746</v>
      </c>
      <c r="W14" s="6">
        <f t="shared" si="6"/>
        <v>59.420289871014461</v>
      </c>
      <c r="X14" s="34">
        <f t="shared" si="7"/>
        <v>0.82299999999999995</v>
      </c>
      <c r="Y14" s="35">
        <f t="shared" si="8"/>
        <v>0.32100000000000001</v>
      </c>
      <c r="Z14" s="31">
        <f t="shared" si="9"/>
        <v>0.13800000000000001</v>
      </c>
      <c r="AA14" s="27">
        <f t="shared" si="15"/>
        <v>17.700000000000003</v>
      </c>
      <c r="AB14" s="27">
        <f t="shared" si="10"/>
        <v>67.900000000000006</v>
      </c>
      <c r="AC14" s="28">
        <f t="shared" si="10"/>
        <v>86.2</v>
      </c>
      <c r="AD14" s="34">
        <f t="shared" si="16"/>
        <v>0.82299999999999995</v>
      </c>
      <c r="AE14" s="35">
        <f t="shared" si="11"/>
        <v>0.78869778869778873</v>
      </c>
      <c r="AF14" s="31">
        <f t="shared" si="17"/>
        <v>0.62727272727272732</v>
      </c>
      <c r="AG14" s="10">
        <f t="shared" si="18"/>
        <v>17.700000000000003</v>
      </c>
      <c r="AH14" s="6">
        <f t="shared" si="12"/>
        <v>21.130221130221127</v>
      </c>
      <c r="AI14" s="7">
        <f t="shared" si="12"/>
        <v>37.272727272727266</v>
      </c>
    </row>
    <row r="15" spans="1:35" ht="15" thickBot="1">
      <c r="A15" s="20"/>
      <c r="B15" s="45">
        <v>0</v>
      </c>
      <c r="C15" s="46">
        <v>0</v>
      </c>
      <c r="D15" s="47">
        <v>30</v>
      </c>
      <c r="E15" s="48" t="s">
        <v>13</v>
      </c>
      <c r="F15" s="49">
        <v>0.746</v>
      </c>
      <c r="G15" s="49">
        <v>0.27900000000000003</v>
      </c>
      <c r="H15" s="49">
        <v>0.126</v>
      </c>
      <c r="I15" s="50">
        <f t="shared" si="13"/>
        <v>18.317599195710457</v>
      </c>
      <c r="J15" s="51">
        <f t="shared" si="0"/>
        <v>48.97824014336917</v>
      </c>
      <c r="K15" s="52">
        <f t="shared" si="0"/>
        <v>108.45181746031747</v>
      </c>
      <c r="L15" s="11">
        <f t="shared" si="1"/>
        <v>1.3404825737265416</v>
      </c>
      <c r="M15" s="8">
        <f t="shared" si="1"/>
        <v>3.5842293906810032</v>
      </c>
      <c r="N15" s="9">
        <f t="shared" si="1"/>
        <v>7.9365079365079367</v>
      </c>
      <c r="O15" s="8">
        <f t="shared" si="2"/>
        <v>34.048257372654156</v>
      </c>
      <c r="P15" s="8">
        <f t="shared" si="2"/>
        <v>258.42293906810033</v>
      </c>
      <c r="Q15" s="9">
        <f t="shared" si="2"/>
        <v>693.65079365079373</v>
      </c>
      <c r="R15" s="11">
        <f t="shared" si="3"/>
        <v>1.3404825737265416</v>
      </c>
      <c r="S15" s="8">
        <f t="shared" si="4"/>
        <v>1.458781362008627</v>
      </c>
      <c r="T15" s="9">
        <f t="shared" si="5"/>
        <v>1.7460317462063493</v>
      </c>
      <c r="U15" s="8">
        <f t="shared" si="14"/>
        <v>34.048257372654156</v>
      </c>
      <c r="V15" s="8">
        <f t="shared" si="6"/>
        <v>45.878136200862699</v>
      </c>
      <c r="W15" s="8">
        <f t="shared" si="6"/>
        <v>74.603174620634931</v>
      </c>
      <c r="X15" s="36">
        <f t="shared" si="7"/>
        <v>0.746</v>
      </c>
      <c r="Y15" s="32">
        <f t="shared" si="8"/>
        <v>0.27900000000000003</v>
      </c>
      <c r="Z15" s="33">
        <f t="shared" si="9"/>
        <v>0.126</v>
      </c>
      <c r="AA15" s="29">
        <f t="shared" si="15"/>
        <v>25.4</v>
      </c>
      <c r="AB15" s="29">
        <f t="shared" si="10"/>
        <v>72.099999999999994</v>
      </c>
      <c r="AC15" s="30">
        <f t="shared" si="10"/>
        <v>87.4</v>
      </c>
      <c r="AD15" s="36">
        <f t="shared" si="16"/>
        <v>0.746</v>
      </c>
      <c r="AE15" s="32">
        <f t="shared" si="11"/>
        <v>0.68550368550368557</v>
      </c>
      <c r="AF15" s="33">
        <f t="shared" si="17"/>
        <v>0.57272727272727275</v>
      </c>
      <c r="AG15" s="11">
        <f t="shared" si="18"/>
        <v>25.4</v>
      </c>
      <c r="AH15" s="8">
        <f t="shared" si="12"/>
        <v>31.449631449631443</v>
      </c>
      <c r="AI15" s="9">
        <f t="shared" si="12"/>
        <v>42.727272727272727</v>
      </c>
    </row>
    <row r="19" spans="1:1" ht="15.75" customHeight="1">
      <c r="A19" s="3"/>
    </row>
    <row r="20" spans="1:1" ht="15.75" customHeight="1">
      <c r="A20" s="4"/>
    </row>
    <row r="21" spans="1:1" ht="15.75" customHeight="1"/>
    <row r="22" spans="1:1" ht="15.75" customHeight="1"/>
    <row r="23" spans="1:1" ht="15.75" customHeight="1"/>
    <row r="24" spans="1:1" ht="15.75" customHeight="1"/>
    <row r="25" spans="1:1" ht="15.75" customHeight="1"/>
    <row r="26" spans="1:1" ht="15.75" customHeight="1"/>
    <row r="27" spans="1:1" ht="15.75" customHeight="1"/>
    <row r="28" spans="1:1" ht="15.75" customHeight="1"/>
    <row r="29" spans="1:1" ht="15.75" customHeight="1"/>
    <row r="30" spans="1:1" ht="15.75" customHeight="1"/>
    <row r="31" spans="1:1" ht="15.75" customHeight="1"/>
    <row r="32" spans="1: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absolutely honest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Hüseyin Uğur Yıldız</cp:lastModifiedBy>
  <dcterms:modified xsi:type="dcterms:W3CDTF">2025-05-15T23:52:15Z</dcterms:modified>
</cp:coreProperties>
</file>